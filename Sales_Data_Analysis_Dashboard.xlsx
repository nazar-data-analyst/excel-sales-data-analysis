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4343AFC9-50E7-4707-9D72-55CE49130EC7}" xr6:coauthVersionLast="47" xr6:coauthVersionMax="47" xr10:uidLastSave="{00000000-0000-0000-0000-000000000000}"/>
  <bookViews>
    <workbookView xWindow="0" yWindow="0" windowWidth="9345" windowHeight="8565" activeTab="2" xr2:uid="{00000000-000D-0000-FFFF-FFFF00000000}"/>
  </bookViews>
  <sheets>
    <sheet name="Raw_Data" sheetId="1" r:id="rId1"/>
    <sheet name="Overall_Performance" sheetId="2" r:id="rId2"/>
    <sheet name="Regional_Analysis" sheetId="3" r:id="rId3"/>
    <sheet name="Product_Performance" sheetId="4" r:id="rId4"/>
    <sheet name="Date-wise Analysis" sheetId="5" r:id="rId5"/>
    <sheet name="Sales_Analysis_Dashboard" sheetId="6" r:id="rId6"/>
  </sheets>
  <definedNames>
    <definedName name="Slicer_Order_Date">#N/A</definedName>
    <definedName name="Slicer_Product">#N/A</definedName>
    <definedName name="Slicer_Region">#N/A</definedName>
  </definedNames>
  <calcPr calcId="191028"/>
  <pivotCaches>
    <pivotCache cacheId="2321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" i="1"/>
  <c r="N18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9" i="1"/>
  <c r="N20" i="1"/>
  <c r="N21" i="1"/>
  <c r="N2" i="1"/>
</calcChain>
</file>

<file path=xl/sharedStrings.xml><?xml version="1.0" encoding="utf-8"?>
<sst xmlns="http://schemas.openxmlformats.org/spreadsheetml/2006/main" count="160" uniqueCount="60">
  <si>
    <t>Order_ID</t>
  </si>
  <si>
    <t>Order_Date</t>
  </si>
  <si>
    <t>Region</t>
  </si>
  <si>
    <t>City</t>
  </si>
  <si>
    <t>Customer_Name</t>
  </si>
  <si>
    <t>Product</t>
  </si>
  <si>
    <t>Category</t>
  </si>
  <si>
    <t>Quantity</t>
  </si>
  <si>
    <t>Unit_Price</t>
  </si>
  <si>
    <t>Discount_%</t>
  </si>
  <si>
    <t>Payment_Mode</t>
  </si>
  <si>
    <t>Sales_Amount</t>
  </si>
  <si>
    <t>Profit</t>
  </si>
  <si>
    <t>Profit%</t>
  </si>
  <si>
    <t>Discount Amount</t>
  </si>
  <si>
    <t>Date</t>
  </si>
  <si>
    <t>North</t>
  </si>
  <si>
    <t>Delhi</t>
  </si>
  <si>
    <t>Customer_1</t>
  </si>
  <si>
    <t>Laptop</t>
  </si>
  <si>
    <t>Electronics</t>
  </si>
  <si>
    <t>UPI</t>
  </si>
  <si>
    <t>South</t>
  </si>
  <si>
    <t>Bangalore</t>
  </si>
  <si>
    <t>Customer_2</t>
  </si>
  <si>
    <t>Mobile</t>
  </si>
  <si>
    <t>Card</t>
  </si>
  <si>
    <t>East</t>
  </si>
  <si>
    <t>Kolkata</t>
  </si>
  <si>
    <t>Customer_3</t>
  </si>
  <si>
    <t>Chair</t>
  </si>
  <si>
    <t>Furniture</t>
  </si>
  <si>
    <t>Cash</t>
  </si>
  <si>
    <t>West</t>
  </si>
  <si>
    <t>Mumbai</t>
  </si>
  <si>
    <t>Customer_4</t>
  </si>
  <si>
    <t>Table</t>
  </si>
  <si>
    <t>Customer_5</t>
  </si>
  <si>
    <t>Headphones</t>
  </si>
  <si>
    <t>Accessories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</si>
  <si>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</si>
  <si>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</si>
  <si>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</si>
  <si>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</si>
  <si>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</si>
  <si>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</si>
  <si>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</si>
  <si>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</si>
  <si>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</si>
  <si>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</si>
  <si>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</si>
  <si>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</si>
  <si>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</si>
  <si>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</si>
  <si>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</si>
  <si>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Sum of Sales_Amount</t>
  </si>
  <si>
    <t>Sum of Profit</t>
  </si>
  <si>
    <t>Sum of Discount Amount</t>
  </si>
  <si>
    <t>Grand Total</t>
  </si>
  <si>
    <t>02-Jan-2025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</si>
</sst>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1010000]d/m/yyyy;@"/>
    <numFmt numFmtId="166" formatCode="_(* #,##0_);_(* \(#,##0\);_(* &quot;-&quot;??_);_(@_)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3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3" borderId="12" xfId="0" applyFon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0" fontId="0" fillId="3" borderId="13" xfId="0" applyFont="1" applyFill="1" applyBorder="1" applyAlignment="1">
      <alignment horizontal="center" vertical="center"/>
    </xf>
    <xf numFmtId="165" fontId="0" fillId="3" borderId="3" xfId="0" applyNumberFormat="1" applyFont="1" applyFill="1" applyBorder="1" applyAlignment="1">
      <alignment horizontal="center" vertical="center"/>
    </xf>
    <xf numFmtId="165" fontId="0" fillId="3" borderId="1" xfId="0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165" fontId="2" fillId="2" borderId="6" xfId="0" applyNumberFormat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65" fontId="0" fillId="3" borderId="8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0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0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1" xfId="0" pivotButton="1" applyNumberFormat="1" applyBorder="1"/>
    <xf numFmtId="164" fontId="0" fillId="0" borderId="1" xfId="0" applyNumberFormat="1" applyBorder="1"/>
    <xf numFmtId="0" fontId="0" fillId="0" borderId="1" xfId="0" pivotButton="1" applyBorder="1"/>
    <xf numFmtId="0" fontId="0" fillId="0" borderId="1" xfId="0" applyBorder="1"/>
    <xf numFmtId="0" fontId="0" fillId="0" borderId="1" xfId="0" applyNumberFormat="1" applyBorder="1"/>
    <xf numFmtId="164" fontId="0" fillId="0" borderId="0" xfId="0" applyNumberFormat="1" applyBorder="1"/>
    <xf numFmtId="166" fontId="0" fillId="0" borderId="1" xfId="0" pivotButton="1" applyNumberFormat="1" applyBorder="1"/>
    <xf numFmtId="166" fontId="0" fillId="0" borderId="1" xfId="0" applyNumberFormat="1" applyBorder="1"/>
    <xf numFmtId="164" fontId="3" fillId="0" borderId="1" xfId="0" applyNumberFormat="1" applyFont="1" applyBorder="1"/>
  </cellXfs>
  <cellStyles count="1">
    <cellStyle name="Normal" xfId="0" builtinId="0"/>
  </cellStyles>
  <dxfs count="77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1010000]d/m/yyyy;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border outline="0">
        <bottom style="medium">
          <color rgb="FF000000"/>
        </bottom>
      </border>
    </dxf>
    <dxf>
      <border outline="0">
        <right style="thin">
          <color rgb="FF000000"/>
        </right>
        <top style="medium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8"/>
      </font>
    </dxf>
    <dxf>
      <font>
        <sz val="8"/>
      </font>
    </dxf>
    <dxf>
      <font>
        <sz val="8"/>
      </font>
    </dxf>
    <dxf>
      <font>
        <b val="0"/>
      </font>
    </dxf>
    <dxf>
      <font>
        <b val="0"/>
      </font>
    </dxf>
    <dxf>
      <font>
        <b val="0"/>
      </font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8"/>
      </font>
    </dxf>
    <dxf>
      <font>
        <sz val="8"/>
      </font>
    </dxf>
    <dxf>
      <font>
        <sz val="8"/>
      </font>
    </dxf>
    <dxf>
      <font>
        <b val="0"/>
      </font>
    </dxf>
    <dxf>
      <font>
        <b val="0"/>
      </font>
    </dxf>
    <dxf>
      <font>
        <b val="0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[Sales_Data_Analysis_Dashboard.xlsx]Overall_Performance!PivotTable1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Sales vs Profit vs Discount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Overall_Performance!$A$3</c:f>
              <c:strCache>
                <c:ptCount val="1"/>
                <c:pt idx="0">
                  <c:v>Sum of Sales_Amount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Overall_Performance!$A$4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Overall_Performance!$A$4</c:f>
              <c:numCache>
                <c:formatCode>_(* #,##0.00_);_(* \(#,##0.00\);_(* "-"??_);_(@_)</c:formatCode>
                <c:ptCount val="1"/>
                <c:pt idx="0">
                  <c:v>34200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4-430B-B58B-590456F7AFD0}"/>
            </c:ext>
          </c:extLst>
        </c:ser>
        <c:ser>
          <c:idx val="1"/>
          <c:order val="1"/>
          <c:tx>
            <c:strRef>
              <c:f>Overall_Performance!$B$3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Overall_Performance!$A$4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Overall_Performance!$B$4</c:f>
              <c:numCache>
                <c:formatCode>_(* #,##0.00_);_(* \(#,##0.00\);_(* "-"??_);_(@_)</c:formatCode>
                <c:ptCount val="1"/>
                <c:pt idx="0">
                  <c:v>5130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F4-430B-B58B-590456F7AFD0}"/>
            </c:ext>
          </c:extLst>
        </c:ser>
        <c:ser>
          <c:idx val="2"/>
          <c:order val="2"/>
          <c:tx>
            <c:strRef>
              <c:f>Overall_Performance!$C$3</c:f>
              <c:strCache>
                <c:ptCount val="1"/>
                <c:pt idx="0">
                  <c:v>Sum of Discount Amount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Overall_Performance!$A$4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Overall_Performance!$C$4</c:f>
              <c:numCache>
                <c:formatCode>_(* #,##0.00_);_(* \(#,##0.00\);_(* "-"??_);_(@_)</c:formatCode>
                <c:ptCount val="1"/>
                <c:pt idx="0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F4-430B-B58B-590456F7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6406791"/>
        <c:axId val="1356408839"/>
      </c:barChart>
      <c:catAx>
        <c:axId val="13564067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408839"/>
        <c:crosses val="autoZero"/>
        <c:auto val="1"/>
        <c:lblAlgn val="ctr"/>
        <c:lblOffset val="100"/>
        <c:noMultiLvlLbl val="0"/>
      </c:catAx>
      <c:valAx>
        <c:axId val="1356408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4067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[Sales_Data_Analysis_Dashboard.xlsx]Regional_Analysis!PivotTable2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Region-wise Sales &amp; Profit</a:t>
            </a:r>
          </a:p>
        </c:rich>
      </c:tx>
      <c:layout>
        <c:manualLayout>
          <c:xMode val="edge"/>
          <c:yMode val="edge"/>
          <c:x val="0.29907633420822405"/>
          <c:y val="1.650165016501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Regional_Analysis!$B$3</c:f>
              <c:strCache>
                <c:ptCount val="1"/>
                <c:pt idx="0">
                  <c:v>Sum of Sales_Amount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Regional_Analysis!$A$4:$A$5</c:f>
              <c:strCache>
                <c:ptCount val="1"/>
                <c:pt idx="0">
                  <c:v>South</c:v>
                </c:pt>
              </c:strCache>
            </c:strRef>
          </c:cat>
          <c:val>
            <c:numRef>
              <c:f>Regional_Analysis!$B$4:$B$5</c:f>
              <c:numCache>
                <c:formatCode>_(* #,##0.00_);_(* \(#,##0.00\);_(* "-"??_);_(@_)</c:formatCode>
                <c:ptCount val="1"/>
                <c:pt idx="0">
                  <c:v>34200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0E-4E42-BCE1-E76C29D0AFE5}"/>
            </c:ext>
          </c:extLst>
        </c:ser>
        <c:ser>
          <c:idx val="1"/>
          <c:order val="1"/>
          <c:tx>
            <c:strRef>
              <c:f>Regional_Analysis!$C$3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Regional_Analysis!$A$4:$A$5</c:f>
              <c:strCache>
                <c:ptCount val="1"/>
                <c:pt idx="0">
                  <c:v>South</c:v>
                </c:pt>
              </c:strCache>
            </c:strRef>
          </c:cat>
          <c:val>
            <c:numRef>
              <c:f>Regional_Analysis!$C$4:$C$5</c:f>
              <c:numCache>
                <c:formatCode>_(* #,##0.00_);_(* \(#,##0.00\);_(* "-"??_);_(@_)</c:formatCode>
                <c:ptCount val="1"/>
                <c:pt idx="0">
                  <c:v>5130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0E-4E42-BCE1-E76C29D0A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4570120"/>
        <c:axId val="614400008"/>
      </c:barChart>
      <c:catAx>
        <c:axId val="1204570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400008"/>
        <c:crosses val="autoZero"/>
        <c:auto val="1"/>
        <c:lblAlgn val="ctr"/>
        <c:lblOffset val="100"/>
        <c:noMultiLvlLbl val="0"/>
      </c:catAx>
      <c:valAx>
        <c:axId val="614400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5701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[Sales_Data_Analysis_Dashboard.xlsx]Product_Performance!PivotTable3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&amp; Profit by Product</a:t>
            </a:r>
          </a:p>
        </c:rich>
      </c:tx>
      <c:layout>
        <c:manualLayout>
          <c:xMode val="edge"/>
          <c:yMode val="edge"/>
          <c:x val="0.36157633420822405"/>
          <c:y val="3.1690140845070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Product_Performance!$B$3</c:f>
              <c:strCache>
                <c:ptCount val="1"/>
                <c:pt idx="0">
                  <c:v>Sum of Sales_Amount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Product_Performance!$A$4:$A$5</c:f>
              <c:strCache>
                <c:ptCount val="1"/>
                <c:pt idx="0">
                  <c:v>Mobile</c:v>
                </c:pt>
              </c:strCache>
            </c:strRef>
          </c:cat>
          <c:val>
            <c:numRef>
              <c:f>Product_Performance!$B$4:$B$5</c:f>
              <c:numCache>
                <c:formatCode>_(* #,##0_);_(* \(#,##0\);_(* "-"??_);_(@_)</c:formatCode>
                <c:ptCount val="1"/>
                <c:pt idx="0">
                  <c:v>34200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98-4EAF-B102-31EF8AC22A5C}"/>
            </c:ext>
          </c:extLst>
        </c:ser>
        <c:ser>
          <c:idx val="1"/>
          <c:order val="1"/>
          <c:tx>
            <c:strRef>
              <c:f>Product_Performance!$C$3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Product_Performance!$A$4:$A$5</c:f>
              <c:strCache>
                <c:ptCount val="1"/>
                <c:pt idx="0">
                  <c:v>Mobile</c:v>
                </c:pt>
              </c:strCache>
            </c:strRef>
          </c:cat>
          <c:val>
            <c:numRef>
              <c:f>Product_Performance!$C$4:$C$5</c:f>
              <c:numCache>
                <c:formatCode>_(* #,##0_);_(* \(#,##0\);_(* "-"??_);_(@_)</c:formatCode>
                <c:ptCount val="1"/>
                <c:pt idx="0">
                  <c:v>5130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98-4EAF-B102-31EF8AC22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1983752"/>
        <c:axId val="1702002696"/>
      </c:barChart>
      <c:catAx>
        <c:axId val="1701983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layout>
            <c:manualLayout>
              <c:xMode val="edge"/>
              <c:yMode val="edge"/>
              <c:x val="3.2638888888888891E-2"/>
              <c:y val="0.232398432590292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002696"/>
        <c:crosses val="autoZero"/>
        <c:auto val="1"/>
        <c:lblAlgn val="ctr"/>
        <c:lblOffset val="100"/>
        <c:noMultiLvlLbl val="0"/>
      </c:catAx>
      <c:valAx>
        <c:axId val="1702002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983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[Sales_Data_Analysis_Dashboard.xlsx]Date-wise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 Profit - Jan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'Date-wise Analysis'!$B$3</c:f>
              <c:strCache>
                <c:ptCount val="1"/>
                <c:pt idx="0">
                  <c:v>Sum of Sales_Amount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'Date-wise Analysis'!$A$4:$A$5</c:f>
              <c:strCache>
                <c:ptCount val="1"/>
                <c:pt idx="0">
                  <c:v>02-Jan-2025</c:v>
                </c:pt>
              </c:strCache>
            </c:strRef>
          </c:cat>
          <c:val>
            <c:numRef>
              <c:f>'Date-wise Analysis'!$B$4:$B$5</c:f>
              <c:numCache>
                <c:formatCode>General</c:formatCode>
                <c:ptCount val="1"/>
                <c:pt idx="0">
                  <c:v>34200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E1-4461-AF8E-87380854FAEB}"/>
            </c:ext>
          </c:extLst>
        </c:ser>
        <c:ser>
          <c:idx val="1"/>
          <c:order val="1"/>
          <c:tx>
            <c:strRef>
              <c:f>'Date-wise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'Date-wise Analysis'!$A$4:$A$5</c:f>
              <c:strCache>
                <c:ptCount val="1"/>
                <c:pt idx="0">
                  <c:v>02-Jan-2025</c:v>
                </c:pt>
              </c:strCache>
            </c:strRef>
          </c:cat>
          <c:val>
            <c:numRef>
              <c:f>'Date-wise Analysis'!$C$4:$C$5</c:f>
              <c:numCache>
                <c:formatCode>General</c:formatCode>
                <c:ptCount val="1"/>
                <c:pt idx="0">
                  <c:v>5130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E1-4461-AF8E-87380854F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4"/>
        <c:overlap val="-27"/>
        <c:axId val="825532936"/>
        <c:axId val="825534984"/>
      </c:barChart>
      <c:catAx>
        <c:axId val="825532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534984"/>
        <c:crosses val="autoZero"/>
        <c:auto val="1"/>
        <c:lblAlgn val="ctr"/>
        <c:lblOffset val="100"/>
        <c:noMultiLvlLbl val="0"/>
      </c:catAx>
      <c:valAx>
        <c:axId val="825534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5329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[Sales_Data_Analysis_Dashboard.xlsx]Regional_Analysis!PivotTable2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Region-wise Sales &amp; Profit</a:t>
            </a:r>
          </a:p>
        </c:rich>
      </c:tx>
      <c:layout>
        <c:manualLayout>
          <c:xMode val="edge"/>
          <c:yMode val="edge"/>
          <c:x val="0.35858947683353048"/>
          <c:y val="2.48226950354609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Regional_Analysis!$B$3</c:f>
              <c:strCache>
                <c:ptCount val="1"/>
                <c:pt idx="0">
                  <c:v>Sum of Sales_Amount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Regional_Analysis!$A$4:$A$5</c:f>
              <c:strCache>
                <c:ptCount val="1"/>
                <c:pt idx="0">
                  <c:v>South</c:v>
                </c:pt>
              </c:strCache>
            </c:strRef>
          </c:cat>
          <c:val>
            <c:numRef>
              <c:f>Regional_Analysis!$B$4:$B$5</c:f>
              <c:numCache>
                <c:formatCode>_(* #,##0.00_);_(* \(#,##0.00\);_(* "-"??_);_(@_)</c:formatCode>
                <c:ptCount val="1"/>
                <c:pt idx="0">
                  <c:v>34200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15-4642-8384-A8FC269C0351}"/>
            </c:ext>
          </c:extLst>
        </c:ser>
        <c:ser>
          <c:idx val="1"/>
          <c:order val="1"/>
          <c:tx>
            <c:strRef>
              <c:f>Regional_Analysis!$C$3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Regional_Analysis!$A$4:$A$5</c:f>
              <c:strCache>
                <c:ptCount val="1"/>
                <c:pt idx="0">
                  <c:v>South</c:v>
                </c:pt>
              </c:strCache>
            </c:strRef>
          </c:cat>
          <c:val>
            <c:numRef>
              <c:f>Regional_Analysis!$C$4:$C$5</c:f>
              <c:numCache>
                <c:formatCode>_(* #,##0.00_);_(* \(#,##0.00\);_(* "-"??_);_(@_)</c:formatCode>
                <c:ptCount val="1"/>
                <c:pt idx="0">
                  <c:v>5130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15-4642-8384-A8FC269C0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4570120"/>
        <c:axId val="614400008"/>
      </c:barChart>
      <c:catAx>
        <c:axId val="1204570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400008"/>
        <c:crosses val="autoZero"/>
        <c:auto val="1"/>
        <c:lblAlgn val="ctr"/>
        <c:lblOffset val="100"/>
        <c:noMultiLvlLbl val="0"/>
      </c:catAx>
      <c:valAx>
        <c:axId val="61440000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5701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[Sales_Data_Analysis_Dashboard.xlsx]Overall_Performance!PivotTable1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Sales vs Profit vs Discount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Overall_Performance!$A$3</c:f>
              <c:strCache>
                <c:ptCount val="1"/>
                <c:pt idx="0">
                  <c:v>Sum of Sales_Amount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Overall_Performance!$A$4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Overall_Performance!$A$4</c:f>
              <c:numCache>
                <c:formatCode>_(* #,##0.00_);_(* \(#,##0.00\);_(* "-"??_);_(@_)</c:formatCode>
                <c:ptCount val="1"/>
                <c:pt idx="0">
                  <c:v>34200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5-43EB-ACB7-34EF1E82F98B}"/>
            </c:ext>
          </c:extLst>
        </c:ser>
        <c:ser>
          <c:idx val="1"/>
          <c:order val="1"/>
          <c:tx>
            <c:strRef>
              <c:f>Overall_Performance!$B$3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Overall_Performance!$A$4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Overall_Performance!$B$4</c:f>
              <c:numCache>
                <c:formatCode>_(* #,##0.00_);_(* \(#,##0.00\);_(* "-"??_);_(@_)</c:formatCode>
                <c:ptCount val="1"/>
                <c:pt idx="0">
                  <c:v>5130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65-43EB-ACB7-34EF1E82F98B}"/>
            </c:ext>
          </c:extLst>
        </c:ser>
        <c:ser>
          <c:idx val="2"/>
          <c:order val="2"/>
          <c:tx>
            <c:strRef>
              <c:f>Overall_Performance!$C$3</c:f>
              <c:strCache>
                <c:ptCount val="1"/>
                <c:pt idx="0">
                  <c:v>Sum of Discount Amount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Overall_Performance!$A$4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Overall_Performance!$C$4</c:f>
              <c:numCache>
                <c:formatCode>_(* #,##0.00_);_(* \(#,##0.00\);_(* "-"??_);_(@_)</c:formatCode>
                <c:ptCount val="1"/>
                <c:pt idx="0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65-43EB-ACB7-34EF1E82F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6406791"/>
        <c:axId val="1356408839"/>
      </c:barChart>
      <c:catAx>
        <c:axId val="13564067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408839"/>
        <c:crosses val="autoZero"/>
        <c:auto val="1"/>
        <c:lblAlgn val="ctr"/>
        <c:lblOffset val="100"/>
        <c:noMultiLvlLbl val="0"/>
      </c:catAx>
      <c:valAx>
        <c:axId val="1356408839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4067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[Sales_Data_Analysis_Dashboard.xlsx]Product_Performance!PivotTable3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&amp; Profit by Product</a:t>
            </a:r>
          </a:p>
        </c:rich>
      </c:tx>
      <c:layout>
        <c:manualLayout>
          <c:xMode val="edge"/>
          <c:yMode val="edge"/>
          <c:x val="0.36157633420822405"/>
          <c:y val="3.1690140845070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Product_Performance!$B$3</c:f>
              <c:strCache>
                <c:ptCount val="1"/>
                <c:pt idx="0">
                  <c:v>Sum of Sales_Amount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Product_Performance!$A$4:$A$5</c:f>
              <c:strCache>
                <c:ptCount val="1"/>
                <c:pt idx="0">
                  <c:v>Mobile</c:v>
                </c:pt>
              </c:strCache>
            </c:strRef>
          </c:cat>
          <c:val>
            <c:numRef>
              <c:f>Product_Performance!$B$4:$B$5</c:f>
              <c:numCache>
                <c:formatCode>_(* #,##0_);_(* \(#,##0\);_(* "-"??_);_(@_)</c:formatCode>
                <c:ptCount val="1"/>
                <c:pt idx="0">
                  <c:v>34200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1-477D-81CB-794BBD8886E8}"/>
            </c:ext>
          </c:extLst>
        </c:ser>
        <c:ser>
          <c:idx val="1"/>
          <c:order val="1"/>
          <c:tx>
            <c:strRef>
              <c:f>Product_Performance!$C$3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Product_Performance!$A$4:$A$5</c:f>
              <c:strCache>
                <c:ptCount val="1"/>
                <c:pt idx="0">
                  <c:v>Mobile</c:v>
                </c:pt>
              </c:strCache>
            </c:strRef>
          </c:cat>
          <c:val>
            <c:numRef>
              <c:f>Product_Performance!$C$4:$C$5</c:f>
              <c:numCache>
                <c:formatCode>_(* #,##0_);_(* \(#,##0\);_(* "-"??_);_(@_)</c:formatCode>
                <c:ptCount val="1"/>
                <c:pt idx="0">
                  <c:v>5130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01-477D-81CB-794BBD888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1983752"/>
        <c:axId val="1702002696"/>
      </c:barChart>
      <c:catAx>
        <c:axId val="1701983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layout>
            <c:manualLayout>
              <c:xMode val="edge"/>
              <c:yMode val="edge"/>
              <c:x val="3.2638888888888891E-2"/>
              <c:y val="0.232398432590292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002696"/>
        <c:crosses val="autoZero"/>
        <c:auto val="1"/>
        <c:lblAlgn val="ctr"/>
        <c:lblOffset val="100"/>
        <c:noMultiLvlLbl val="0"/>
      </c:catAx>
      <c:valAx>
        <c:axId val="1702002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983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[Sales_Data_Analysis_Dashboard.xlsx]Date-wise Analysis!PivotTable4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 Profit - Jan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'Date-wise Analysis'!$B$3</c:f>
              <c:strCache>
                <c:ptCount val="1"/>
                <c:pt idx="0">
                  <c:v>Sum of Sales_Amount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'Date-wise Analysis'!$A$4:$A$5</c:f>
              <c:strCache>
                <c:ptCount val="1"/>
                <c:pt idx="0">
                  <c:v>02-Jan-2025</c:v>
                </c:pt>
              </c:strCache>
            </c:strRef>
          </c:cat>
          <c:val>
            <c:numRef>
              <c:f>'Date-wise Analysis'!$B$4:$B$5</c:f>
              <c:numCache>
                <c:formatCode>General</c:formatCode>
                <c:ptCount val="1"/>
                <c:pt idx="0">
                  <c:v>34200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41-4052-83D2-296BD8078667}"/>
            </c:ext>
          </c:extLst>
        </c:ser>
        <c:ser>
          <c:idx val="1"/>
          <c:order val="1"/>
          <c:tx>
            <c:strRef>
              <c:f>'Date-wise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'Date-wise Analysis'!$A$4:$A$5</c:f>
              <c:strCache>
                <c:ptCount val="1"/>
                <c:pt idx="0">
                  <c:v>02-Jan-2025</c:v>
                </c:pt>
              </c:strCache>
            </c:strRef>
          </c:cat>
          <c:val>
            <c:numRef>
              <c:f>'Date-wise Analysis'!$C$4:$C$5</c:f>
              <c:numCache>
                <c:formatCode>General</c:formatCode>
                <c:ptCount val="1"/>
                <c:pt idx="0">
                  <c:v>5130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41-4052-83D2-296BD8078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4"/>
        <c:overlap val="-27"/>
        <c:axId val="825532936"/>
        <c:axId val="825534984"/>
      </c:barChart>
      <c:catAx>
        <c:axId val="825532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534984"/>
        <c:crosses val="autoZero"/>
        <c:auto val="1"/>
        <c:lblAlgn val="ctr"/>
        <c:lblOffset val="100"/>
        <c:noMultiLvlLbl val="0"/>
      </c:catAx>
      <c:valAx>
        <c:axId val="825534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5329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0</xdr:row>
      <xdr:rowOff>104775</xdr:rowOff>
    </xdr:from>
    <xdr:to>
      <xdr:col>16</xdr:col>
      <xdr:colOff>190500</xdr:colOff>
      <xdr:row>17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5EFAA8-1740-3DF8-13BA-961E67B239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152400</xdr:colOff>
      <xdr:row>8</xdr:row>
      <xdr:rowOff>142875</xdr:rowOff>
    </xdr:from>
    <xdr:to>
      <xdr:col>7</xdr:col>
      <xdr:colOff>152400</xdr:colOff>
      <xdr:row>22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Order_Date 1">
              <a:extLst>
                <a:ext uri="{FF2B5EF4-FFF2-40B4-BE49-F238E27FC236}">
                  <a16:creationId xmlns:a16="http://schemas.microsoft.com/office/drawing/2014/main" id="{BD632BA4-AAB6-E5D6-EEB0-0639E85B2A9F}"/>
                </a:ext>
                <a:ext uri="{147F2762-F138-4A5C-976F-8EAC2B608ADB}">
                  <a16:predDERef xmlns:a16="http://schemas.microsoft.com/office/drawing/2014/main" pred="{245EFAA8-1740-3DF8-13BA-961E67B239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_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05350" y="16668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485775</xdr:colOff>
      <xdr:row>9</xdr:row>
      <xdr:rowOff>28575</xdr:rowOff>
    </xdr:from>
    <xdr:to>
      <xdr:col>4</xdr:col>
      <xdr:colOff>95250</xdr:colOff>
      <xdr:row>16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Region 1">
              <a:extLst>
                <a:ext uri="{FF2B5EF4-FFF2-40B4-BE49-F238E27FC236}">
                  <a16:creationId xmlns:a16="http://schemas.microsoft.com/office/drawing/2014/main" id="{84694A28-6172-2FEF-4DAE-BF3D764B6517}"/>
                </a:ext>
                <a:ext uri="{147F2762-F138-4A5C-976F-8EAC2B608ADB}">
                  <a16:predDERef xmlns:a16="http://schemas.microsoft.com/office/drawing/2014/main" pred="{BD632BA4-AAB6-E5D6-EEB0-0639E85B2A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19400" y="1743075"/>
              <a:ext cx="1828800" cy="1428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933450</xdr:colOff>
      <xdr:row>8</xdr:row>
      <xdr:rowOff>133350</xdr:rowOff>
    </xdr:from>
    <xdr:to>
      <xdr:col>2</xdr:col>
      <xdr:colOff>428625</xdr:colOff>
      <xdr:row>18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Product 1">
              <a:extLst>
                <a:ext uri="{FF2B5EF4-FFF2-40B4-BE49-F238E27FC236}">
                  <a16:creationId xmlns:a16="http://schemas.microsoft.com/office/drawing/2014/main" id="{776DA8BD-AC51-34B1-8816-8E84C2F0066E}"/>
                </a:ext>
                <a:ext uri="{147F2762-F138-4A5C-976F-8EAC2B608ADB}">
                  <a16:predDERef xmlns:a16="http://schemas.microsoft.com/office/drawing/2014/main" pred="{84694A28-6172-2FEF-4DAE-BF3D764B65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3450" y="1657350"/>
              <a:ext cx="1828800" cy="1828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0</xdr:row>
      <xdr:rowOff>180975</xdr:rowOff>
    </xdr:from>
    <xdr:to>
      <xdr:col>14</xdr:col>
      <xdr:colOff>0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64C872-1556-033B-C1F4-E6D5ED4664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1</xdr:row>
      <xdr:rowOff>47625</xdr:rowOff>
    </xdr:from>
    <xdr:to>
      <xdr:col>14</xdr:col>
      <xdr:colOff>142875</xdr:colOff>
      <xdr:row>17</xdr:row>
      <xdr:rowOff>161925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A898604-C257-06B9-8EA0-BD54D6340B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466725</xdr:colOff>
      <xdr:row>1</xdr:row>
      <xdr:rowOff>76200</xdr:rowOff>
    </xdr:from>
    <xdr:to>
      <xdr:col>13</xdr:col>
      <xdr:colOff>485775</xdr:colOff>
      <xdr:row>17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BE2439-E320-7652-9365-55F5CF5BD3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504825</xdr:colOff>
      <xdr:row>0</xdr:row>
      <xdr:rowOff>114300</xdr:rowOff>
    </xdr:from>
    <xdr:to>
      <xdr:col>13</xdr:col>
      <xdr:colOff>561975</xdr:colOff>
      <xdr:row>17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F3A9A9-ED6B-4230-8B86-6ACA63065AB2}"/>
            </a:ext>
            <a:ext uri="{147F2762-F138-4A5C-976F-8EAC2B608ADB}">
              <a16:predDERef xmlns:a16="http://schemas.microsoft.com/office/drawing/2014/main" pred="{5D601ED3-0D16-46BB-988A-6CD871B4CD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352425</xdr:colOff>
      <xdr:row>18</xdr:row>
      <xdr:rowOff>104775</xdr:rowOff>
    </xdr:from>
    <xdr:to>
      <xdr:col>14</xdr:col>
      <xdr:colOff>114300</xdr:colOff>
      <xdr:row>38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C38D5D-A497-439C-B6DE-331E9B09E530}"/>
            </a:ext>
            <a:ext uri="{147F2762-F138-4A5C-976F-8EAC2B608ADB}">
              <a16:predDERef xmlns:a16="http://schemas.microsoft.com/office/drawing/2014/main" pred="{60F3A9A9-ED6B-4230-8B86-6ACA63065A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171450</xdr:colOff>
      <xdr:row>0</xdr:row>
      <xdr:rowOff>85725</xdr:rowOff>
    </xdr:from>
    <xdr:to>
      <xdr:col>22</xdr:col>
      <xdr:colOff>276225</xdr:colOff>
      <xdr:row>17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7A0C875-6786-485A-9572-3C06975949BA}"/>
            </a:ext>
            <a:ext uri="{147F2762-F138-4A5C-976F-8EAC2B608ADB}">
              <a16:predDERef xmlns:a16="http://schemas.microsoft.com/office/drawing/2014/main" pred="{23C38D5D-A497-439C-B6DE-331E9B09E5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285750</xdr:colOff>
      <xdr:row>18</xdr:row>
      <xdr:rowOff>38100</xdr:rowOff>
    </xdr:from>
    <xdr:to>
      <xdr:col>22</xdr:col>
      <xdr:colOff>114300</xdr:colOff>
      <xdr:row>37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D2ACB92-C4D5-4D7E-9DCC-1B6ECBC7D35F}"/>
            </a:ext>
            <a:ext uri="{147F2762-F138-4A5C-976F-8EAC2B608ADB}">
              <a16:predDERef xmlns:a16="http://schemas.microsoft.com/office/drawing/2014/main" pred="{87A0C875-6786-485A-9572-3C06975949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323850</xdr:colOff>
      <xdr:row>0</xdr:row>
      <xdr:rowOff>47625</xdr:rowOff>
    </xdr:from>
    <xdr:to>
      <xdr:col>5</xdr:col>
      <xdr:colOff>361950</xdr:colOff>
      <xdr:row>17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Order_Date">
              <a:extLst>
                <a:ext uri="{FF2B5EF4-FFF2-40B4-BE49-F238E27FC236}">
                  <a16:creationId xmlns:a16="http://schemas.microsoft.com/office/drawing/2014/main" id="{38F303DC-78E6-095B-C09B-55EB6A7FE913}"/>
                </a:ext>
                <a:ext uri="{147F2762-F138-4A5C-976F-8EAC2B608ADB}">
                  <a16:predDERef xmlns:a16="http://schemas.microsoft.com/office/drawing/2014/main" pred="{4D2ACB92-C4D5-4D7E-9DCC-1B6ECBC7D3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_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52650" y="57150"/>
              <a:ext cx="1771650" cy="3238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228600</xdr:colOff>
      <xdr:row>8</xdr:row>
      <xdr:rowOff>114300</xdr:rowOff>
    </xdr:from>
    <xdr:to>
      <xdr:col>3</xdr:col>
      <xdr:colOff>247650</xdr:colOff>
      <xdr:row>17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Region">
              <a:extLst>
                <a:ext uri="{FF2B5EF4-FFF2-40B4-BE49-F238E27FC236}">
                  <a16:creationId xmlns:a16="http://schemas.microsoft.com/office/drawing/2014/main" id="{78DED14C-2588-A50E-9567-C2C31FD4144B}"/>
                </a:ext>
                <a:ext uri="{147F2762-F138-4A5C-976F-8EAC2B608ADB}">
                  <a16:predDERef xmlns:a16="http://schemas.microsoft.com/office/drawing/2014/main" pred="{38F303DC-78E6-095B-C09B-55EB6A7FE9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" y="1638300"/>
              <a:ext cx="1847850" cy="167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228600</xdr:colOff>
      <xdr:row>0</xdr:row>
      <xdr:rowOff>66675</xdr:rowOff>
    </xdr:from>
    <xdr:to>
      <xdr:col>3</xdr:col>
      <xdr:colOff>238125</xdr:colOff>
      <xdr:row>7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Product">
              <a:extLst>
                <a:ext uri="{FF2B5EF4-FFF2-40B4-BE49-F238E27FC236}">
                  <a16:creationId xmlns:a16="http://schemas.microsoft.com/office/drawing/2014/main" id="{634CDB7C-9AAC-9EFC-8A2E-61409EADC58F}"/>
                </a:ext>
                <a:ext uri="{147F2762-F138-4A5C-976F-8EAC2B608ADB}">
                  <a16:predDERef xmlns:a16="http://schemas.microsoft.com/office/drawing/2014/main" pred="{78DED14C-2588-A50E-9567-C2C31FD414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" y="66675"/>
              <a:ext cx="1838325" cy="1419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1.774044907404" createdVersion="8" refreshedVersion="8" minRefreshableVersion="3" recordCount="20" xr:uid="{289271AF-F988-4A1F-AF85-904C3F6E031A}">
  <cacheSource type="worksheet">
    <worksheetSource name="Table3"/>
  </cacheSource>
  <cacheFields count="16">
    <cacheField name="Order_ID" numFmtId="0">
      <sharedItems containsSemiMixedTypes="0" containsString="0" containsNumber="1" containsInteger="1" minValue="1001" maxValue="1020"/>
    </cacheField>
    <cacheField name="Order_Date" numFmtId="165">
      <sharedItems containsSemiMixedTypes="0" containsNonDate="0" containsDate="1" containsString="0" minDate="2025-01-01T00:00:00" maxDate="2025-01-21T00:00:00" count="20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</sharedItems>
    </cacheField>
    <cacheField name="Region" numFmtId="0">
      <sharedItems count="4">
        <s v="North"/>
        <s v="South"/>
        <s v="East"/>
        <s v="West"/>
      </sharedItems>
    </cacheField>
    <cacheField name="City" numFmtId="0">
      <sharedItems/>
    </cacheField>
    <cacheField name="Customer_Name" numFmtId="0">
      <sharedItems/>
    </cacheField>
    <cacheField name="Product" numFmtId="0">
      <sharedItems count="5">
        <s v="Laptop"/>
        <s v="Mobile"/>
        <s v="Chair"/>
        <s v="Table"/>
        <s v="Headphones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4"/>
    </cacheField>
    <cacheField name="Unit_Price" numFmtId="0">
      <sharedItems containsSemiMixedTypes="0" containsString="0" containsNumber="1" containsInteger="1" minValue="2500" maxValue="55000"/>
    </cacheField>
    <cacheField name="Discount_%" numFmtId="0">
      <sharedItems containsSemiMixedTypes="0" containsString="0" containsNumber="1" containsInteger="1" minValue="0" maxValue="15"/>
    </cacheField>
    <cacheField name="Payment_Mode" numFmtId="0">
      <sharedItems/>
    </cacheField>
    <cacheField name="Sales_Amount" numFmtId="0">
      <sharedItems containsSemiMixedTypes="0" containsString="0" containsNumber="1" containsInteger="1" minValue="7500" maxValue="49500"/>
    </cacheField>
    <cacheField name="Profit" numFmtId="0">
      <sharedItems containsSemiMixedTypes="0" containsString="0" containsNumber="1" containsInteger="1" minValue="1125" maxValue="7425"/>
    </cacheField>
    <cacheField name="Profit%" numFmtId="10">
      <sharedItems containsSemiMixedTypes="0" containsString="0" containsNumber="1" minValue="0.15" maxValue="0.15"/>
    </cacheField>
    <cacheField name="Discount Amount" numFmtId="0">
      <sharedItems containsSemiMixedTypes="0" containsString="0" containsNumber="1" containsInteger="1" minValue="0" maxValue="5500"/>
    </cacheField>
    <cacheField name="Date" numFmtId="0">
      <sharedItems count="20">
        <s v="01-Jan-2025"/>
        <s v="02-Jan-2025"/>
        <s v="03-Jan-2025"/>
        <s v="04-Jan-2025"/>
        <s v="05-Jan-2025"/>
        <s v="06-Jan-2025"/>
        <s v="07-Jan-2025"/>
        <s v="08-Jan-2025"/>
        <s v="09-Jan-2025"/>
        <s v="10-Jan-2025"/>
        <s v="11-Jan-2025"/>
        <s v="12-Jan-2025"/>
        <s v="13-Jan-2025"/>
        <s v="14-Jan-2025"/>
        <s v="15-Jan-2025"/>
        <s v="16-Jan-2025"/>
        <s v="17-Jan-2025"/>
        <s v="18-Jan-2025"/>
        <s v="19-Jan-2025"/>
        <s v="20-Jan-2025"/>
      </sharedItems>
    </cacheField>
  </cacheFields>
  <extLst>
    <ext xmlns:x14="http://schemas.microsoft.com/office/spreadsheetml/2009/9/main" uri="{725AE2AE-9491-48be-B2B4-4EB974FC3084}">
      <x14:pivotCacheDefinition pivotCacheId="81272410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01"/>
    <x v="0"/>
    <x v="0"/>
    <s v="Delhi"/>
    <s v="Customer_1"/>
    <x v="0"/>
    <s v="Electronics"/>
    <n v="1"/>
    <n v="55000"/>
    <n v="10"/>
    <s v="UPI"/>
    <n v="49500"/>
    <n v="7425"/>
    <n v="0.15"/>
    <n v="5500"/>
    <x v="0"/>
  </r>
  <r>
    <n v="1002"/>
    <x v="1"/>
    <x v="1"/>
    <s v="Bangalore"/>
    <s v="Customer_2"/>
    <x v="1"/>
    <s v="Electronics"/>
    <n v="2"/>
    <n v="18000"/>
    <n v="5"/>
    <s v="Card"/>
    <n v="34200"/>
    <n v="5130"/>
    <n v="0.15"/>
    <n v="1800"/>
    <x v="1"/>
  </r>
  <r>
    <n v="1003"/>
    <x v="2"/>
    <x v="2"/>
    <s v="Kolkata"/>
    <s v="Customer_3"/>
    <x v="2"/>
    <s v="Furniture"/>
    <n v="3"/>
    <n v="2500"/>
    <n v="0"/>
    <s v="Cash"/>
    <n v="7500"/>
    <n v="1125"/>
    <n v="0.15"/>
    <n v="0"/>
    <x v="2"/>
  </r>
  <r>
    <n v="1004"/>
    <x v="3"/>
    <x v="3"/>
    <s v="Mumbai"/>
    <s v="Customer_4"/>
    <x v="3"/>
    <s v="Furniture"/>
    <n v="1"/>
    <n v="12000"/>
    <n v="15"/>
    <s v="UPI"/>
    <n v="10200"/>
    <n v="1530"/>
    <n v="0.15"/>
    <n v="1800"/>
    <x v="3"/>
  </r>
  <r>
    <n v="1005"/>
    <x v="4"/>
    <x v="0"/>
    <s v="Delhi"/>
    <s v="Customer_5"/>
    <x v="4"/>
    <s v="Accessories"/>
    <n v="4"/>
    <n v="3000"/>
    <n v="8"/>
    <s v="Card"/>
    <n v="11040"/>
    <n v="1656"/>
    <n v="0.15"/>
    <n v="960"/>
    <x v="4"/>
  </r>
  <r>
    <n v="1006"/>
    <x v="5"/>
    <x v="1"/>
    <s v="Bangalore"/>
    <s v="Customer_6"/>
    <x v="0"/>
    <s v="Electronics"/>
    <n v="1"/>
    <n v="55000"/>
    <n v="10"/>
    <s v="UPI"/>
    <n v="49500"/>
    <n v="7425"/>
    <n v="0.15"/>
    <n v="5500"/>
    <x v="5"/>
  </r>
  <r>
    <n v="1007"/>
    <x v="6"/>
    <x v="2"/>
    <s v="Kolkata"/>
    <s v="Customer_7"/>
    <x v="1"/>
    <s v="Electronics"/>
    <n v="2"/>
    <n v="18000"/>
    <n v="5"/>
    <s v="Card"/>
    <n v="34200"/>
    <n v="5130"/>
    <n v="0.15"/>
    <n v="1800"/>
    <x v="6"/>
  </r>
  <r>
    <n v="1008"/>
    <x v="7"/>
    <x v="3"/>
    <s v="Mumbai"/>
    <s v="Customer_8"/>
    <x v="2"/>
    <s v="Furniture"/>
    <n v="3"/>
    <n v="2500"/>
    <n v="0"/>
    <s v="Cash"/>
    <n v="7500"/>
    <n v="1125"/>
    <n v="0.15"/>
    <n v="0"/>
    <x v="7"/>
  </r>
  <r>
    <n v="1009"/>
    <x v="8"/>
    <x v="0"/>
    <s v="Delhi"/>
    <s v="Customer_9"/>
    <x v="3"/>
    <s v="Furniture"/>
    <n v="1"/>
    <n v="12000"/>
    <n v="15"/>
    <s v="UPI"/>
    <n v="10200"/>
    <n v="1530"/>
    <n v="0.15"/>
    <n v="1800"/>
    <x v="8"/>
  </r>
  <r>
    <n v="1010"/>
    <x v="9"/>
    <x v="1"/>
    <s v="Bangalore"/>
    <s v="Customer_10"/>
    <x v="4"/>
    <s v="Accessories"/>
    <n v="4"/>
    <n v="3000"/>
    <n v="8"/>
    <s v="Card"/>
    <n v="11040"/>
    <n v="1656"/>
    <n v="0.15"/>
    <n v="960"/>
    <x v="9"/>
  </r>
  <r>
    <n v="1011"/>
    <x v="10"/>
    <x v="2"/>
    <s v="Kolkata"/>
    <s v="Customer_11"/>
    <x v="0"/>
    <s v="Electronics"/>
    <n v="1"/>
    <n v="55000"/>
    <n v="10"/>
    <s v="UPI"/>
    <n v="49500"/>
    <n v="7425"/>
    <n v="0.15"/>
    <n v="5500"/>
    <x v="10"/>
  </r>
  <r>
    <n v="1012"/>
    <x v="11"/>
    <x v="3"/>
    <s v="Mumbai"/>
    <s v="Customer_12"/>
    <x v="1"/>
    <s v="Electronics"/>
    <n v="2"/>
    <n v="18000"/>
    <n v="5"/>
    <s v="Card"/>
    <n v="34200"/>
    <n v="5130"/>
    <n v="0.15"/>
    <n v="1800"/>
    <x v="11"/>
  </r>
  <r>
    <n v="1013"/>
    <x v="12"/>
    <x v="0"/>
    <s v="Delhi"/>
    <s v="Customer_13"/>
    <x v="2"/>
    <s v="Furniture"/>
    <n v="3"/>
    <n v="2500"/>
    <n v="0"/>
    <s v="Cash"/>
    <n v="7500"/>
    <n v="1125"/>
    <n v="0.15"/>
    <n v="0"/>
    <x v="12"/>
  </r>
  <r>
    <n v="1014"/>
    <x v="13"/>
    <x v="1"/>
    <s v="Bangalore"/>
    <s v="Customer_14"/>
    <x v="3"/>
    <s v="Furniture"/>
    <n v="1"/>
    <n v="12000"/>
    <n v="15"/>
    <s v="UPI"/>
    <n v="10200"/>
    <n v="1530"/>
    <n v="0.15"/>
    <n v="1800"/>
    <x v="13"/>
  </r>
  <r>
    <n v="1015"/>
    <x v="14"/>
    <x v="2"/>
    <s v="Kolkata"/>
    <s v="Customer_15"/>
    <x v="4"/>
    <s v="Accessories"/>
    <n v="4"/>
    <n v="3000"/>
    <n v="8"/>
    <s v="Card"/>
    <n v="11040"/>
    <n v="1656"/>
    <n v="0.15"/>
    <n v="960"/>
    <x v="14"/>
  </r>
  <r>
    <n v="1016"/>
    <x v="15"/>
    <x v="3"/>
    <s v="Mumbai"/>
    <s v="Customer_16"/>
    <x v="0"/>
    <s v="Electronics"/>
    <n v="1"/>
    <n v="55000"/>
    <n v="10"/>
    <s v="UPI"/>
    <n v="49500"/>
    <n v="7425"/>
    <n v="0.15"/>
    <n v="5500"/>
    <x v="15"/>
  </r>
  <r>
    <n v="1017"/>
    <x v="16"/>
    <x v="0"/>
    <s v="Delhi"/>
    <s v="Customer_17"/>
    <x v="1"/>
    <s v="Electronics"/>
    <n v="2"/>
    <n v="18000"/>
    <n v="5"/>
    <s v="Card"/>
    <n v="34200"/>
    <n v="5130"/>
    <n v="0.15"/>
    <n v="1800"/>
    <x v="16"/>
  </r>
  <r>
    <n v="1018"/>
    <x v="17"/>
    <x v="1"/>
    <s v="Bangalore"/>
    <s v="Customer_18"/>
    <x v="2"/>
    <s v="Furniture"/>
    <n v="3"/>
    <n v="2500"/>
    <n v="0"/>
    <s v="Cash"/>
    <n v="7500"/>
    <n v="1125"/>
    <n v="0.15"/>
    <n v="0"/>
    <x v="17"/>
  </r>
  <r>
    <n v="1019"/>
    <x v="18"/>
    <x v="2"/>
    <s v="Kolkata"/>
    <s v="Customer_19"/>
    <x v="3"/>
    <s v="Furniture"/>
    <n v="1"/>
    <n v="12000"/>
    <n v="15"/>
    <s v="UPI"/>
    <n v="10200"/>
    <n v="1530"/>
    <n v="0.15"/>
    <n v="1800"/>
    <x v="18"/>
  </r>
  <r>
    <n v="1020"/>
    <x v="19"/>
    <x v="3"/>
    <s v="Mumbai"/>
    <s v="Customer_20"/>
    <x v="4"/>
    <s v="Accessories"/>
    <n v="4"/>
    <n v="3000"/>
    <n v="8"/>
    <s v="Card"/>
    <n v="11040"/>
    <n v="1656"/>
    <n v="0.15"/>
    <n v="960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6ADE0A-1334-4C87-A7CB-5B5D813A4109}" name="PivotTable1" cacheId="23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3:C4" firstHeaderRow="0" firstDataRow="1" firstDataCol="0"/>
  <pivotFields count="16">
    <pivotField compact="0" outline="0" showAll="0"/>
    <pivotField compact="0" numFmtId="165" outline="0" showAll="0">
      <items count="21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t="default"/>
      </items>
    </pivotField>
    <pivotField compact="0" outline="0" showAll="0">
      <items count="5">
        <item x="2"/>
        <item x="0"/>
        <item x="1"/>
        <item h="1" x="3"/>
        <item t="default"/>
      </items>
    </pivotField>
    <pivotField compact="0" outline="0" showAll="0"/>
    <pivotField compact="0" outline="0" showAll="0"/>
    <pivotField compact="0" outline="0" showAll="0">
      <items count="6">
        <item h="1" x="2"/>
        <item h="1" x="4"/>
        <item h="1" x="0"/>
        <item x="1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numFmtId="10" outline="0" showAll="0"/>
    <pivotField dataField="1" compact="0" outline="0" showAll="0"/>
    <pivotField compact="0" outline="0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Sales_Amount" fld="11" baseField="0" baseItem="0"/>
    <dataField name="Sum of Profit" fld="12" baseField="0" baseItem="0"/>
    <dataField name="Sum of Discount Amount" fld="14" baseField="0" baseItem="0"/>
  </dataFields>
  <formats count="6">
    <format dxfId="71">
      <pivotArea type="all" dataOnly="0" outline="0" fieldPosition="0"/>
    </format>
    <format dxfId="72">
      <pivotArea outline="0" collapsedLevelsAreSubtotals="1" fieldPosition="0"/>
    </format>
    <format dxfId="7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4">
      <pivotArea type="all" dataOnly="0" outline="0" fieldPosition="0"/>
    </format>
    <format dxfId="75">
      <pivotArea outline="0" collapsedLevelsAreSubtotals="1" fieldPosition="0"/>
    </format>
    <format dxfId="7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2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3DDD27-8A51-44C7-9A74-AF0ADDB7FE11}" name="PivotTable2" cacheId="23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C5" firstHeaderRow="0" firstDataRow="1" firstDataCol="1"/>
  <pivotFields count="16">
    <pivotField compact="0" outline="0" showAll="0"/>
    <pivotField compact="0" numFmtId="165" outline="0" showAll="0">
      <items count="21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t="default"/>
      </items>
    </pivotField>
    <pivotField axis="axisRow" compact="0" outline="0" showAll="0" sortType="ascending">
      <items count="5">
        <item x="2"/>
        <item x="0"/>
        <item x="1"/>
        <item h="1" x="3"/>
        <item t="default"/>
      </items>
    </pivotField>
    <pivotField compact="0" outline="0" showAll="0"/>
    <pivotField compact="0" outline="0" showAll="0"/>
    <pivotField compact="0" outline="0" showAll="0">
      <items count="6">
        <item h="1" x="2"/>
        <item h="1" x="4"/>
        <item h="1" x="0"/>
        <item x="1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numFmtId="10" outline="0" showAll="0"/>
    <pivotField compact="0" outline="0" showAll="0"/>
    <pivotField compact="0" outline="0" showAll="0"/>
  </pivotFields>
  <rowFields count="1">
    <field x="2"/>
  </rowFields>
  <rowItems count="2"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Amount" fld="11" baseField="0" baseItem="0"/>
    <dataField name="Sum of Profit" fld="12" baseField="0" baseItem="0"/>
  </dataFields>
  <formats count="12">
    <format dxfId="59">
      <pivotArea type="all" dataOnly="0" outline="0" fieldPosition="0"/>
    </format>
    <format dxfId="60">
      <pivotArea outline="0" collapsedLevelsAreSubtotals="1" fieldPosition="0"/>
    </format>
    <format dxfId="61">
      <pivotArea field="2" type="button" dataOnly="0" labelOnly="1" outline="0" axis="axisRow" fieldPosition="0"/>
    </format>
    <format dxfId="62">
      <pivotArea dataOnly="0" labelOnly="1" outline="0" fieldPosition="0">
        <references count="1">
          <reference field="2" count="0"/>
        </references>
      </pivotArea>
    </format>
    <format dxfId="63">
      <pivotArea dataOnly="0" labelOnly="1" grandRow="1" outline="0" fieldPosition="0"/>
    </format>
    <format dxfId="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5">
      <pivotArea type="all" dataOnly="0" outline="0" fieldPosition="0"/>
    </format>
    <format dxfId="66">
      <pivotArea outline="0" collapsedLevelsAreSubtotals="1" fieldPosition="0"/>
    </format>
    <format dxfId="67">
      <pivotArea field="2" type="button" dataOnly="0" labelOnly="1" outline="0" axis="axisRow" fieldPosition="0"/>
    </format>
    <format dxfId="68">
      <pivotArea dataOnly="0" labelOnly="1" outline="0" fieldPosition="0">
        <references count="1">
          <reference field="2" count="0"/>
        </references>
      </pivotArea>
    </format>
    <format dxfId="69">
      <pivotArea dataOnly="0" labelOnly="1" grandRow="1" outline="0" fieldPosition="0"/>
    </format>
    <format dxfId="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374EB-217A-412C-BE79-4CF38B2DFB9A}" name="PivotTable3" cacheId="23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C5" firstHeaderRow="0" firstDataRow="1" firstDataCol="1"/>
  <pivotFields count="16">
    <pivotField compact="0" outline="0" showAll="0"/>
    <pivotField compact="0" numFmtId="165" outline="0" showAll="0">
      <items count="21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t="default"/>
      </items>
    </pivotField>
    <pivotField compact="0" outline="0" showAll="0">
      <items count="5">
        <item x="2"/>
        <item x="0"/>
        <item x="1"/>
        <item h="1" x="3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6">
        <item h="1" x="2"/>
        <item h="1" x="4"/>
        <item h="1" x="0"/>
        <item x="1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numFmtId="10" outline="0" showAll="0"/>
    <pivotField compact="0" outline="0" showAll="0"/>
    <pivotField compact="0" outline="0" showAll="0"/>
  </pivotFields>
  <rowFields count="1">
    <field x="5"/>
  </rowFields>
  <rowItems count="2"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Amount" fld="11" baseField="0" baseItem="0"/>
    <dataField name="Sum of Profit" fld="12" baseField="0" baseItem="0"/>
  </dataFields>
  <formats count="12">
    <format dxfId="47">
      <pivotArea type="all" dataOnly="0" outline="0" fieldPosition="0"/>
    </format>
    <format dxfId="48">
      <pivotArea outline="0" collapsedLevelsAreSubtotals="1" fieldPosition="0"/>
    </format>
    <format dxfId="49">
      <pivotArea field="5" type="button" dataOnly="0" labelOnly="1" outline="0" axis="axisRow" fieldPosition="0"/>
    </format>
    <format dxfId="50">
      <pivotArea dataOnly="0" labelOnly="1" outline="0" fieldPosition="0">
        <references count="1">
          <reference field="5" count="0"/>
        </references>
      </pivotArea>
    </format>
    <format dxfId="51">
      <pivotArea dataOnly="0" labelOnly="1" grandRow="1" outline="0" fieldPosition="0"/>
    </format>
    <format dxfId="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3">
      <pivotArea type="all" dataOnly="0" outline="0" fieldPosition="0"/>
    </format>
    <format dxfId="54">
      <pivotArea outline="0" collapsedLevelsAreSubtotals="1" fieldPosition="0"/>
    </format>
    <format dxfId="55">
      <pivotArea field="5" type="button" dataOnly="0" labelOnly="1" outline="0" axis="axisRow" fieldPosition="0"/>
    </format>
    <format dxfId="56">
      <pivotArea dataOnly="0" labelOnly="1" outline="0" fieldPosition="0">
        <references count="1">
          <reference field="5" count="0"/>
        </references>
      </pivotArea>
    </format>
    <format dxfId="57">
      <pivotArea dataOnly="0" labelOnly="1" grandRow="1" outline="0" fieldPosition="0"/>
    </format>
    <format dxfId="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0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9F287-7617-45E5-B6FE-0ABB3AD651A1}" name="PivotTable4" cacheId="23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3:C5" firstHeaderRow="0" firstDataRow="1" firstDataCol="1"/>
  <pivotFields count="16">
    <pivotField compact="0" outline="0" showAll="0"/>
    <pivotField compact="0" numFmtId="165" outline="0" showAll="0">
      <items count="21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t="default"/>
      </items>
    </pivotField>
    <pivotField compact="0" outline="0" showAll="0">
      <items count="5">
        <item x="2"/>
        <item x="0"/>
        <item x="1"/>
        <item h="1" x="3"/>
        <item t="default"/>
      </items>
    </pivotField>
    <pivotField compact="0" outline="0" showAll="0"/>
    <pivotField compact="0" outline="0" showAll="0"/>
    <pivotField compact="0" outline="0" showAll="0">
      <items count="6">
        <item h="1" x="2"/>
        <item h="1" x="4"/>
        <item h="1" x="0"/>
        <item x="1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numFmtId="10" outline="0" showAll="0"/>
    <pivotField compact="0" outline="0" showAll="0"/>
    <pivotField axis="axisRow" compact="0" outline="0" showAll="0" sortType="ascending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 count="1">
    <field x="15"/>
  </rowFields>
  <rowItems count="2"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Amount" fld="11" baseField="0" baseItem="0"/>
    <dataField name="Sum of Profit" fld="12" baseField="0" baseItem="0"/>
  </dataFields>
  <formats count="4">
    <format dxfId="43">
      <pivotArea type="all" dataOnly="0" outline="0" fieldPosition="0"/>
    </format>
    <format dxfId="44">
      <pivotArea outline="0" collapsedLevelsAreSubtotals="1" fieldPosition="0"/>
    </format>
    <format dxfId="45">
      <pivotArea dataOnly="0" labelOnly="1" grandRow="1" outline="0" fieldPosition="0"/>
    </format>
    <format dxfId="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5588EA-DE25-4CEA-9D9A-1AA0ED54EB67}" name="PivotTable2" cacheId="23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D49:F50" firstHeaderRow="0" firstDataRow="1" firstDataCol="0"/>
  <pivotFields count="16">
    <pivotField compact="0" outline="0" showAll="0"/>
    <pivotField compact="0" numFmtId="165" outline="0" showAll="0">
      <items count="21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t="default"/>
      </items>
    </pivotField>
    <pivotField compact="0" outline="0" showAll="0">
      <items count="5">
        <item x="2"/>
        <item x="0"/>
        <item x="1"/>
        <item h="1" x="3"/>
        <item t="default"/>
      </items>
    </pivotField>
    <pivotField compact="0" outline="0" showAll="0"/>
    <pivotField compact="0" outline="0" showAll="0"/>
    <pivotField compact="0" outline="0" showAll="0">
      <items count="6">
        <item h="1" x="2"/>
        <item h="1" x="4"/>
        <item h="1" x="0"/>
        <item x="1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numFmtId="10" outline="0" showAll="0"/>
    <pivotField dataField="1" compact="0" outline="0" showAll="0"/>
    <pivotField compact="0" outline="0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Sales_Amount" fld="11" baseField="0" baseItem="0"/>
    <dataField name="Sum of Profit" fld="12" baseField="0" baseItem="0"/>
    <dataField name="Sum of Discount Amount" fld="14" baseField="0" baseItem="0"/>
  </dataFields>
  <formats count="12">
    <format dxfId="31">
      <pivotArea type="all" dataOnly="0" outline="0" fieldPosition="0"/>
    </format>
    <format dxfId="32">
      <pivotArea outline="0" collapsedLevelsAreSubtotals="1" fieldPosition="0"/>
    </format>
    <format dxfId="3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4">
      <pivotArea type="all" dataOnly="0" outline="0" fieldPosition="0"/>
    </format>
    <format dxfId="35">
      <pivotArea outline="0" collapsedLevelsAreSubtotals="1" fieldPosition="0"/>
    </format>
    <format dxfId="3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7">
      <pivotArea type="all" dataOnly="0" outline="0" fieldPosition="0"/>
    </format>
    <format dxfId="38">
      <pivotArea outline="0" collapsedLevelsAreSubtotals="1" fieldPosition="0"/>
    </format>
    <format dxfId="3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0">
      <pivotArea type="all" dataOnly="0" outline="0" fieldPosition="0"/>
    </format>
    <format dxfId="41">
      <pivotArea outline="0" collapsedLevelsAreSubtotals="1" fieldPosition="0"/>
    </format>
    <format dxfId="4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2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D7331-193D-4DF7-90E5-F8A233513A84}" name="PivotTable3" cacheId="23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S120:U121" firstHeaderRow="0" firstDataRow="1" firstDataCol="0"/>
  <pivotFields count="16">
    <pivotField compact="0" outline="0" showAll="0"/>
    <pivotField compact="0" numFmtId="165" outline="0" showAll="0">
      <items count="21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t="default"/>
      </items>
    </pivotField>
    <pivotField compact="0" outline="0" showAll="0">
      <items count="5">
        <item x="2"/>
        <item x="0"/>
        <item x="1"/>
        <item h="1" x="3"/>
        <item t="default"/>
      </items>
    </pivotField>
    <pivotField compact="0" outline="0" showAll="0"/>
    <pivotField compact="0" outline="0" showAll="0"/>
    <pivotField compact="0" outline="0" showAll="0">
      <items count="6">
        <item h="1" x="2"/>
        <item h="1" x="4"/>
        <item h="1" x="0"/>
        <item x="1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numFmtId="10" outline="0" showAll="0"/>
    <pivotField dataField="1" compact="0" outline="0" showAll="0"/>
    <pivotField compact="0" outline="0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Sales_Amount" fld="11" baseField="0" baseItem="0"/>
    <dataField name="Sum of Profit" fld="12" baseField="0" baseItem="0"/>
    <dataField name="Sum of Discount Amount" fld="14" baseField="0" baseItem="0"/>
  </dataFields>
  <formats count="12">
    <format dxfId="19">
      <pivotArea type="all" dataOnly="0" outline="0" fieldPosition="0"/>
    </format>
    <format dxfId="20">
      <pivotArea outline="0" collapsedLevelsAreSubtotals="1" fieldPosition="0"/>
    </format>
    <format dxfId="2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">
      <pivotArea type="all" dataOnly="0" outline="0" fieldPosition="0"/>
    </format>
    <format dxfId="23">
      <pivotArea outline="0" collapsedLevelsAreSubtotals="1" fieldPosition="0"/>
    </format>
    <format dxfId="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">
      <pivotArea type="all" dataOnly="0" outline="0" fieldPosition="0"/>
    </format>
    <format dxfId="26">
      <pivotArea outline="0" collapsedLevelsAreSubtotals="1" fieldPosition="0"/>
    </format>
    <format dxfId="2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8">
      <pivotArea type="all" dataOnly="0" outline="0" fieldPosition="0"/>
    </format>
    <format dxfId="29">
      <pivotArea outline="0" collapsedLevelsAreSubtotals="1" fieldPosition="0"/>
    </format>
    <format dxfId="3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2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36857EFD-D694-43CF-BE6C-FF6CF26A617D}" sourceName="Region">
  <pivotTables>
    <pivotTable tabId="3" name="PivotTable2"/>
    <pivotTable tabId="2" name="PivotTable1"/>
    <pivotTable tabId="4" name="PivotTable3"/>
    <pivotTable tabId="5" name="PivotTable4"/>
    <pivotTable tabId="6" name="PivotTable2"/>
    <pivotTable tabId="6" name="PivotTable3"/>
  </pivotTables>
  <data>
    <tabular pivotCacheId="812724102">
      <items count="4">
        <i x="1" s="1"/>
        <i x="2" s="1" nd="1"/>
        <i x="0" s="1" nd="1"/>
        <i x="3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60623C54-984A-465E-9D8E-5E27FE87DD8A}" sourceName="Product">
  <pivotTables>
    <pivotTable tabId="4" name="PivotTable3"/>
    <pivotTable tabId="5" name="PivotTable4"/>
    <pivotTable tabId="3" name="PivotTable2"/>
    <pivotTable tabId="2" name="PivotTable1"/>
    <pivotTable tabId="6" name="PivotTable2"/>
    <pivotTable tabId="6" name="PivotTable3"/>
  </pivotTables>
  <data>
    <tabular pivotCacheId="812724102">
      <items count="5">
        <i x="1" s="1"/>
        <i x="2" nd="1"/>
        <i x="4" nd="1"/>
        <i x="0" nd="1"/>
        <i x="3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rder_Date" xr10:uid="{49DDE8FF-7D73-402A-8A5E-310618A230FE}" sourceName="Order_Date">
  <pivotTables>
    <pivotTable tabId="5" name="PivotTable4"/>
    <pivotTable tabId="4" name="PivotTable3"/>
    <pivotTable tabId="3" name="PivotTable2"/>
    <pivotTable tabId="2" name="PivotTable1"/>
    <pivotTable tabId="6" name="PivotTable2"/>
    <pivotTable tabId="6" name="PivotTable3"/>
  </pivotTables>
  <data>
    <tabular pivotCacheId="812724102">
      <items count="20">
        <i x="1" s="1"/>
        <i x="6"/>
        <i x="16"/>
        <i x="0" nd="1"/>
        <i x="2" nd="1"/>
        <i x="3" nd="1"/>
        <i x="4" nd="1"/>
        <i x="5" nd="1"/>
        <i x="7" nd="1"/>
        <i x="8" nd="1"/>
        <i x="9" nd="1"/>
        <i x="10" nd="1"/>
        <i x="11" nd="1"/>
        <i x="12" nd="1"/>
        <i x="13" nd="1"/>
        <i x="14" nd="1"/>
        <i x="15" nd="1"/>
        <i x="17" nd="1"/>
        <i x="18" nd="1"/>
        <i x="19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1" xr10:uid="{9D6006F5-80C0-40BC-B908-B49EACDEEB9C}" cache="Slicer_Region" caption="Region" rowHeight="228600"/>
  <slicer name="Product 1" xr10:uid="{FA53D8B5-3A02-46CE-B9E7-1251B1D8FA3C}" cache="Slicer_Product" caption="Product" rowHeight="228600"/>
  <slicer name="Order_Date 1" xr10:uid="{95E2B4F1-D707-469C-8C5D-4D5AF8A40CEB}" cache="Slicer_Order_Date" caption="Order_Date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8082382A-44D7-44A1-B974-B5F7B20C69DC}" cache="Slicer_Region" caption="Region" rowHeight="228600"/>
  <slicer name="Product" xr10:uid="{9CA9A9B9-865A-4B58-964A-D4972BD5A395}" cache="Slicer_Product" caption="Product" rowHeight="228600"/>
  <slicer name="Order_Date" xr10:uid="{4872942A-D318-4B36-8EEC-5C21D707DE9E}" cache="Slicer_Order_Date" caption="Order_Dat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9C744F-5A78-4967-8104-6D1376048F5B}" name="Table3" displayName="Table3" ref="A1:P21" totalsRowShown="0" headerRowDxfId="18" headerRowBorderDxfId="16" tableBorderDxfId="17">
  <autoFilter ref="A1:P21" xr:uid="{BC9C744F-5A78-4967-8104-6D1376048F5B}"/>
  <tableColumns count="16">
    <tableColumn id="1" xr3:uid="{039811AA-5804-4D4A-BE1B-81598A1F9157}" name="Order_ID" dataDxfId="15"/>
    <tableColumn id="2" xr3:uid="{854B1A80-A362-4F5D-B912-00C922CB232C}" name="Order_Date" dataDxfId="14"/>
    <tableColumn id="3" xr3:uid="{A88AB08F-9599-4837-B40C-0D26F2D1BE42}" name="Region" dataDxfId="13"/>
    <tableColumn id="4" xr3:uid="{6B81BB94-CC7D-4773-B2F2-E16E217461E1}" name="City" dataDxfId="12"/>
    <tableColumn id="5" xr3:uid="{2D501500-3B6D-481E-A27F-E4D858344F75}" name="Customer_Name" dataDxfId="11"/>
    <tableColumn id="6" xr3:uid="{42B3C42F-A791-446C-93FF-0E5E9B0B1767}" name="Product" dataDxfId="10"/>
    <tableColumn id="7" xr3:uid="{4578FE03-2D8A-4EB1-86A1-ED59B2B917F8}" name="Category" dataDxfId="9"/>
    <tableColumn id="8" xr3:uid="{44904579-C888-454F-AE70-E271746943E1}" name="Quantity" dataDxfId="8"/>
    <tableColumn id="9" xr3:uid="{214FE725-42D9-4D4C-BC9E-09B1FC4402F8}" name="Unit_Price" dataDxfId="7"/>
    <tableColumn id="10" xr3:uid="{6653C3A8-9462-4D76-AE03-01BDDB2AF405}" name="Discount_%" dataDxfId="6"/>
    <tableColumn id="11" xr3:uid="{61A448F6-7C6A-432B-9376-14854E3EF271}" name="Payment_Mode" dataDxfId="5"/>
    <tableColumn id="12" xr3:uid="{D30100E2-04F8-4D02-BAD2-7F7DFFA5FB3F}" name="Sales_Amount" dataDxfId="4"/>
    <tableColumn id="13" xr3:uid="{25D6B9D9-2467-4C90-966D-4B6B84B5B123}" name="Profit" dataDxfId="3"/>
    <tableColumn id="15" xr3:uid="{1D47A469-0420-4BAE-A0FB-C8E40F8C0DEA}" name="Profit%" dataDxfId="2">
      <calculatedColumnFormula>M2/L2</calculatedColumnFormula>
    </tableColumn>
    <tableColumn id="16" xr3:uid="{D965DE20-CDDA-4A3C-98BE-18D3DF4BF481}" name="Discount Amount" dataDxfId="1">
      <calculatedColumnFormula>H2*I2*J2/100</calculatedColumnFormula>
    </tableColumn>
    <tableColumn id="17" xr3:uid="{E8259CDE-AE33-4B46-B69C-2DAFDAA79EE3}" name="Date" dataDxfId="0">
      <calculatedColumnFormula>TEXT(B2,"dd-MMM-YYYY")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showGridLines="0" workbookViewId="0">
      <pane ySplit="1" topLeftCell="A2" activePane="bottomLeft" state="frozen"/>
      <selection pane="bottomLeft" activeCell="C16" sqref="C16"/>
    </sheetView>
  </sheetViews>
  <sheetFormatPr defaultRowHeight="15"/>
  <cols>
    <col min="1" max="1" width="14.5703125" style="7" customWidth="1"/>
    <col min="2" max="2" width="17.42578125" style="16" customWidth="1"/>
    <col min="3" max="3" width="12.28515625" style="10" customWidth="1"/>
    <col min="4" max="4" width="9.7109375" style="4" bestFit="1" customWidth="1"/>
    <col min="5" max="5" width="20.28515625" style="4" customWidth="1"/>
    <col min="6" max="6" width="13.85546875" style="4" customWidth="1"/>
    <col min="7" max="7" width="14.7109375" style="4" customWidth="1"/>
    <col min="8" max="8" width="14.42578125" style="4" customWidth="1"/>
    <col min="9" max="9" width="16" style="4" customWidth="1"/>
    <col min="10" max="10" width="16.140625" style="4" customWidth="1"/>
    <col min="11" max="11" width="20.28515625" style="4" customWidth="1"/>
    <col min="12" max="12" width="19.42578125" style="4" customWidth="1"/>
    <col min="13" max="13" width="11.5703125" style="4" customWidth="1"/>
    <col min="14" max="14" width="13" style="19" customWidth="1"/>
    <col min="15" max="15" width="18.7109375" style="4" bestFit="1" customWidth="1"/>
    <col min="16" max="16" width="11.5703125" style="4" bestFit="1" customWidth="1"/>
    <col min="17" max="16384" width="9.140625" style="4"/>
  </cols>
  <sheetData>
    <row r="1" spans="1:16" s="17" customFormat="1">
      <c r="A1" s="20" t="s">
        <v>0</v>
      </c>
      <c r="B1" s="21" t="s">
        <v>1</v>
      </c>
      <c r="C1" s="22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6" t="s">
        <v>12</v>
      </c>
      <c r="N1" s="28" t="s">
        <v>13</v>
      </c>
      <c r="O1" s="27" t="s">
        <v>14</v>
      </c>
      <c r="P1" s="29" t="s">
        <v>15</v>
      </c>
    </row>
    <row r="2" spans="1:16" s="1" customFormat="1">
      <c r="A2" s="11">
        <v>1001</v>
      </c>
      <c r="B2" s="14">
        <v>45658</v>
      </c>
      <c r="C2" s="12" t="s">
        <v>16</v>
      </c>
      <c r="D2" s="11" t="s">
        <v>17</v>
      </c>
      <c r="E2" s="11" t="s">
        <v>18</v>
      </c>
      <c r="F2" s="11" t="s">
        <v>19</v>
      </c>
      <c r="G2" s="11" t="s">
        <v>20</v>
      </c>
      <c r="H2" s="11">
        <v>1</v>
      </c>
      <c r="I2" s="11">
        <v>55000</v>
      </c>
      <c r="J2" s="11">
        <v>10</v>
      </c>
      <c r="K2" s="11" t="s">
        <v>21</v>
      </c>
      <c r="L2" s="11">
        <v>49500</v>
      </c>
      <c r="M2" s="13">
        <v>7425</v>
      </c>
      <c r="N2" s="18">
        <f>M2/L2</f>
        <v>0.15</v>
      </c>
      <c r="O2" s="1">
        <f>H2*I2*J2/100</f>
        <v>5500</v>
      </c>
      <c r="P2" s="25" t="str">
        <f t="shared" ref="P2:P21" si="0">TEXT(B2,"dd-MMM-YYYY")</f>
        <v>01-Jan-2025</v>
      </c>
    </row>
    <row r="3" spans="1:16">
      <c r="A3" s="2">
        <v>1002</v>
      </c>
      <c r="B3" s="15">
        <v>45659</v>
      </c>
      <c r="C3" s="8" t="s">
        <v>22</v>
      </c>
      <c r="D3" s="2" t="s">
        <v>23</v>
      </c>
      <c r="E3" s="2" t="s">
        <v>24</v>
      </c>
      <c r="F3" s="2" t="s">
        <v>25</v>
      </c>
      <c r="G3" s="2" t="s">
        <v>20</v>
      </c>
      <c r="H3" s="2">
        <v>2</v>
      </c>
      <c r="I3" s="2">
        <v>18000</v>
      </c>
      <c r="J3" s="2">
        <v>5</v>
      </c>
      <c r="K3" s="2" t="s">
        <v>26</v>
      </c>
      <c r="L3" s="2">
        <v>34200</v>
      </c>
      <c r="M3" s="3">
        <v>5130</v>
      </c>
      <c r="N3" s="18">
        <f t="shared" ref="N3:N21" si="1">M3/L3</f>
        <v>0.15</v>
      </c>
      <c r="O3" s="1">
        <f>H3*I3*J3/100</f>
        <v>1800</v>
      </c>
      <c r="P3" s="25" t="str">
        <f t="shared" si="0"/>
        <v>02-Jan-2025</v>
      </c>
    </row>
    <row r="4" spans="1:16">
      <c r="A4" s="5">
        <v>1003</v>
      </c>
      <c r="B4" s="15">
        <v>45660</v>
      </c>
      <c r="C4" s="9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>
        <v>3</v>
      </c>
      <c r="I4" s="5">
        <v>2500</v>
      </c>
      <c r="J4" s="5">
        <v>0</v>
      </c>
      <c r="K4" s="5" t="s">
        <v>32</v>
      </c>
      <c r="L4" s="5">
        <v>7500</v>
      </c>
      <c r="M4" s="6">
        <v>1125</v>
      </c>
      <c r="N4" s="18">
        <f t="shared" si="1"/>
        <v>0.15</v>
      </c>
      <c r="O4" s="1">
        <f t="shared" ref="O4:O21" si="2">H4*I4*J4/100</f>
        <v>0</v>
      </c>
      <c r="P4" s="25" t="str">
        <f t="shared" si="0"/>
        <v>03-Jan-2025</v>
      </c>
    </row>
    <row r="5" spans="1:16">
      <c r="A5" s="2">
        <v>1004</v>
      </c>
      <c r="B5" s="15">
        <v>45661</v>
      </c>
      <c r="C5" s="8" t="s">
        <v>33</v>
      </c>
      <c r="D5" s="2" t="s">
        <v>34</v>
      </c>
      <c r="E5" s="2" t="s">
        <v>35</v>
      </c>
      <c r="F5" s="2" t="s">
        <v>36</v>
      </c>
      <c r="G5" s="2" t="s">
        <v>31</v>
      </c>
      <c r="H5" s="2">
        <v>1</v>
      </c>
      <c r="I5" s="2">
        <v>12000</v>
      </c>
      <c r="J5" s="2">
        <v>15</v>
      </c>
      <c r="K5" s="2" t="s">
        <v>21</v>
      </c>
      <c r="L5" s="2">
        <v>10200</v>
      </c>
      <c r="M5" s="3">
        <v>1530</v>
      </c>
      <c r="N5" s="18">
        <f t="shared" si="1"/>
        <v>0.15</v>
      </c>
      <c r="O5" s="1">
        <f t="shared" si="2"/>
        <v>1800</v>
      </c>
      <c r="P5" s="25" t="str">
        <f t="shared" si="0"/>
        <v>04-Jan-2025</v>
      </c>
    </row>
    <row r="6" spans="1:16">
      <c r="A6" s="5">
        <v>1005</v>
      </c>
      <c r="B6" s="15">
        <v>45662</v>
      </c>
      <c r="C6" s="9" t="s">
        <v>16</v>
      </c>
      <c r="D6" s="5" t="s">
        <v>17</v>
      </c>
      <c r="E6" s="5" t="s">
        <v>37</v>
      </c>
      <c r="F6" s="5" t="s">
        <v>38</v>
      </c>
      <c r="G6" s="5" t="s">
        <v>39</v>
      </c>
      <c r="H6" s="5">
        <v>4</v>
      </c>
      <c r="I6" s="5">
        <v>3000</v>
      </c>
      <c r="J6" s="5">
        <v>8</v>
      </c>
      <c r="K6" s="5" t="s">
        <v>26</v>
      </c>
      <c r="L6" s="5">
        <v>11040</v>
      </c>
      <c r="M6" s="6">
        <v>1656</v>
      </c>
      <c r="N6" s="18">
        <f t="shared" si="1"/>
        <v>0.15</v>
      </c>
      <c r="O6" s="1">
        <f t="shared" si="2"/>
        <v>960</v>
      </c>
      <c r="P6" s="25" t="str">
        <f t="shared" si="0"/>
        <v>05-Jan-2025</v>
      </c>
    </row>
    <row r="7" spans="1:16">
      <c r="A7" s="2">
        <v>1006</v>
      </c>
      <c r="B7" s="15">
        <v>45663</v>
      </c>
      <c r="C7" s="8" t="s">
        <v>22</v>
      </c>
      <c r="D7" s="2" t="s">
        <v>23</v>
      </c>
      <c r="E7" s="2" t="s">
        <v>40</v>
      </c>
      <c r="F7" s="2" t="s">
        <v>19</v>
      </c>
      <c r="G7" s="2" t="s">
        <v>20</v>
      </c>
      <c r="H7" s="2">
        <v>1</v>
      </c>
      <c r="I7" s="2">
        <v>55000</v>
      </c>
      <c r="J7" s="2">
        <v>10</v>
      </c>
      <c r="K7" s="2" t="s">
        <v>21</v>
      </c>
      <c r="L7" s="2">
        <v>49500</v>
      </c>
      <c r="M7" s="3">
        <v>7425</v>
      </c>
      <c r="N7" s="18">
        <f t="shared" si="1"/>
        <v>0.15</v>
      </c>
      <c r="O7" s="1">
        <f t="shared" si="2"/>
        <v>5500</v>
      </c>
      <c r="P7" s="25" t="str">
        <f t="shared" si="0"/>
        <v>06-Jan-2025</v>
      </c>
    </row>
    <row r="8" spans="1:16">
      <c r="A8" s="5">
        <v>1007</v>
      </c>
      <c r="B8" s="15">
        <v>45664</v>
      </c>
      <c r="C8" s="9" t="s">
        <v>27</v>
      </c>
      <c r="D8" s="5" t="s">
        <v>28</v>
      </c>
      <c r="E8" s="5" t="s">
        <v>41</v>
      </c>
      <c r="F8" s="5" t="s">
        <v>25</v>
      </c>
      <c r="G8" s="5" t="s">
        <v>20</v>
      </c>
      <c r="H8" s="5">
        <v>2</v>
      </c>
      <c r="I8" s="5">
        <v>18000</v>
      </c>
      <c r="J8" s="5">
        <v>5</v>
      </c>
      <c r="K8" s="5" t="s">
        <v>26</v>
      </c>
      <c r="L8" s="5">
        <v>34200</v>
      </c>
      <c r="M8" s="6">
        <v>5130</v>
      </c>
      <c r="N8" s="18">
        <f t="shared" si="1"/>
        <v>0.15</v>
      </c>
      <c r="O8" s="1">
        <f t="shared" si="2"/>
        <v>1800</v>
      </c>
      <c r="P8" s="25" t="str">
        <f t="shared" si="0"/>
        <v>07-Jan-2025</v>
      </c>
    </row>
    <row r="9" spans="1:16">
      <c r="A9" s="2">
        <v>1008</v>
      </c>
      <c r="B9" s="15">
        <v>45665</v>
      </c>
      <c r="C9" s="8" t="s">
        <v>33</v>
      </c>
      <c r="D9" s="2" t="s">
        <v>34</v>
      </c>
      <c r="E9" s="2" t="s">
        <v>42</v>
      </c>
      <c r="F9" s="2" t="s">
        <v>30</v>
      </c>
      <c r="G9" s="2" t="s">
        <v>31</v>
      </c>
      <c r="H9" s="2">
        <v>3</v>
      </c>
      <c r="I9" s="2">
        <v>2500</v>
      </c>
      <c r="J9" s="2">
        <v>0</v>
      </c>
      <c r="K9" s="2" t="s">
        <v>32</v>
      </c>
      <c r="L9" s="2">
        <v>7500</v>
      </c>
      <c r="M9" s="3">
        <v>1125</v>
      </c>
      <c r="N9" s="18">
        <f t="shared" si="1"/>
        <v>0.15</v>
      </c>
      <c r="O9" s="1">
        <f t="shared" si="2"/>
        <v>0</v>
      </c>
      <c r="P9" s="25" t="str">
        <f t="shared" si="0"/>
        <v>08-Jan-2025</v>
      </c>
    </row>
    <row r="10" spans="1:16">
      <c r="A10" s="5">
        <v>1009</v>
      </c>
      <c r="B10" s="15">
        <v>45666</v>
      </c>
      <c r="C10" s="9" t="s">
        <v>16</v>
      </c>
      <c r="D10" s="5" t="s">
        <v>17</v>
      </c>
      <c r="E10" s="5" t="s">
        <v>43</v>
      </c>
      <c r="F10" s="5" t="s">
        <v>36</v>
      </c>
      <c r="G10" s="5" t="s">
        <v>31</v>
      </c>
      <c r="H10" s="5">
        <v>1</v>
      </c>
      <c r="I10" s="5">
        <v>12000</v>
      </c>
      <c r="J10" s="5">
        <v>15</v>
      </c>
      <c r="K10" s="5" t="s">
        <v>21</v>
      </c>
      <c r="L10" s="5">
        <v>10200</v>
      </c>
      <c r="M10" s="6">
        <v>1530</v>
      </c>
      <c r="N10" s="18">
        <f t="shared" si="1"/>
        <v>0.15</v>
      </c>
      <c r="O10" s="1">
        <f t="shared" si="2"/>
        <v>1800</v>
      </c>
      <c r="P10" s="25" t="str">
        <f t="shared" si="0"/>
        <v>09-Jan-2025</v>
      </c>
    </row>
    <row r="11" spans="1:16">
      <c r="A11" s="2">
        <v>1010</v>
      </c>
      <c r="B11" s="15">
        <v>45667</v>
      </c>
      <c r="C11" s="8" t="s">
        <v>22</v>
      </c>
      <c r="D11" s="2" t="s">
        <v>23</v>
      </c>
      <c r="E11" s="2" t="s">
        <v>44</v>
      </c>
      <c r="F11" s="2" t="s">
        <v>38</v>
      </c>
      <c r="G11" s="2" t="s">
        <v>39</v>
      </c>
      <c r="H11" s="2">
        <v>4</v>
      </c>
      <c r="I11" s="2">
        <v>3000</v>
      </c>
      <c r="J11" s="2">
        <v>8</v>
      </c>
      <c r="K11" s="2" t="s">
        <v>26</v>
      </c>
      <c r="L11" s="2">
        <v>11040</v>
      </c>
      <c r="M11" s="3">
        <v>1656</v>
      </c>
      <c r="N11" s="18">
        <f t="shared" si="1"/>
        <v>0.15</v>
      </c>
      <c r="O11" s="1">
        <f t="shared" si="2"/>
        <v>960</v>
      </c>
      <c r="P11" s="25" t="str">
        <f t="shared" si="0"/>
        <v>10-Jan-2025</v>
      </c>
    </row>
    <row r="12" spans="1:16">
      <c r="A12" s="5">
        <v>1011</v>
      </c>
      <c r="B12" s="15">
        <v>45668</v>
      </c>
      <c r="C12" s="9" t="s">
        <v>27</v>
      </c>
      <c r="D12" s="5" t="s">
        <v>28</v>
      </c>
      <c r="E12" s="5" t="s">
        <v>45</v>
      </c>
      <c r="F12" s="5" t="s">
        <v>19</v>
      </c>
      <c r="G12" s="5" t="s">
        <v>20</v>
      </c>
      <c r="H12" s="5">
        <v>1</v>
      </c>
      <c r="I12" s="5">
        <v>55000</v>
      </c>
      <c r="J12" s="5">
        <v>10</v>
      </c>
      <c r="K12" s="5" t="s">
        <v>21</v>
      </c>
      <c r="L12" s="5">
        <v>49500</v>
      </c>
      <c r="M12" s="6">
        <v>7425</v>
      </c>
      <c r="N12" s="18">
        <f t="shared" si="1"/>
        <v>0.15</v>
      </c>
      <c r="O12" s="1">
        <f t="shared" si="2"/>
        <v>5500</v>
      </c>
      <c r="P12" s="25" t="str">
        <f t="shared" si="0"/>
        <v>11-Jan-2025</v>
      </c>
    </row>
    <row r="13" spans="1:16">
      <c r="A13" s="2">
        <v>1012</v>
      </c>
      <c r="B13" s="15">
        <v>45669</v>
      </c>
      <c r="C13" s="8" t="s">
        <v>33</v>
      </c>
      <c r="D13" s="2" t="s">
        <v>34</v>
      </c>
      <c r="E13" s="2" t="s">
        <v>46</v>
      </c>
      <c r="F13" s="2" t="s">
        <v>25</v>
      </c>
      <c r="G13" s="2" t="s">
        <v>20</v>
      </c>
      <c r="H13" s="2">
        <v>2</v>
      </c>
      <c r="I13" s="2">
        <v>18000</v>
      </c>
      <c r="J13" s="2">
        <v>5</v>
      </c>
      <c r="K13" s="2" t="s">
        <v>26</v>
      </c>
      <c r="L13" s="2">
        <v>34200</v>
      </c>
      <c r="M13" s="3">
        <v>5130</v>
      </c>
      <c r="N13" s="18">
        <f t="shared" si="1"/>
        <v>0.15</v>
      </c>
      <c r="O13" s="1">
        <f t="shared" si="2"/>
        <v>1800</v>
      </c>
      <c r="P13" s="25" t="str">
        <f t="shared" si="0"/>
        <v>12-Jan-2025</v>
      </c>
    </row>
    <row r="14" spans="1:16">
      <c r="A14" s="5">
        <v>1013</v>
      </c>
      <c r="B14" s="15">
        <v>45670</v>
      </c>
      <c r="C14" s="9" t="s">
        <v>16</v>
      </c>
      <c r="D14" s="5" t="s">
        <v>17</v>
      </c>
      <c r="E14" s="5" t="s">
        <v>47</v>
      </c>
      <c r="F14" s="5" t="s">
        <v>30</v>
      </c>
      <c r="G14" s="5" t="s">
        <v>31</v>
      </c>
      <c r="H14" s="5">
        <v>3</v>
      </c>
      <c r="I14" s="5">
        <v>2500</v>
      </c>
      <c r="J14" s="5">
        <v>0</v>
      </c>
      <c r="K14" s="5" t="s">
        <v>32</v>
      </c>
      <c r="L14" s="5">
        <v>7500</v>
      </c>
      <c r="M14" s="6">
        <v>1125</v>
      </c>
      <c r="N14" s="18">
        <f t="shared" si="1"/>
        <v>0.15</v>
      </c>
      <c r="O14" s="1">
        <f t="shared" si="2"/>
        <v>0</v>
      </c>
      <c r="P14" s="25" t="str">
        <f t="shared" si="0"/>
        <v>13-Jan-2025</v>
      </c>
    </row>
    <row r="15" spans="1:16">
      <c r="A15" s="2">
        <v>1014</v>
      </c>
      <c r="B15" s="15">
        <v>45671</v>
      </c>
      <c r="C15" s="8" t="s">
        <v>22</v>
      </c>
      <c r="D15" s="2" t="s">
        <v>23</v>
      </c>
      <c r="E15" s="2" t="s">
        <v>48</v>
      </c>
      <c r="F15" s="2" t="s">
        <v>36</v>
      </c>
      <c r="G15" s="2" t="s">
        <v>31</v>
      </c>
      <c r="H15" s="2">
        <v>1</v>
      </c>
      <c r="I15" s="2">
        <v>12000</v>
      </c>
      <c r="J15" s="2">
        <v>15</v>
      </c>
      <c r="K15" s="2" t="s">
        <v>21</v>
      </c>
      <c r="L15" s="2">
        <v>10200</v>
      </c>
      <c r="M15" s="3">
        <v>1530</v>
      </c>
      <c r="N15" s="18">
        <f t="shared" si="1"/>
        <v>0.15</v>
      </c>
      <c r="O15" s="1">
        <f t="shared" si="2"/>
        <v>1800</v>
      </c>
      <c r="P15" s="25" t="str">
        <f t="shared" si="0"/>
        <v>14-Jan-2025</v>
      </c>
    </row>
    <row r="16" spans="1:16">
      <c r="A16" s="5">
        <v>1015</v>
      </c>
      <c r="B16" s="15">
        <v>45672</v>
      </c>
      <c r="C16" s="9" t="s">
        <v>27</v>
      </c>
      <c r="D16" s="5" t="s">
        <v>28</v>
      </c>
      <c r="E16" s="5" t="s">
        <v>49</v>
      </c>
      <c r="F16" s="5" t="s">
        <v>38</v>
      </c>
      <c r="G16" s="5" t="s">
        <v>39</v>
      </c>
      <c r="H16" s="5">
        <v>4</v>
      </c>
      <c r="I16" s="5">
        <v>3000</v>
      </c>
      <c r="J16" s="5">
        <v>8</v>
      </c>
      <c r="K16" s="5" t="s">
        <v>26</v>
      </c>
      <c r="L16" s="5">
        <v>11040</v>
      </c>
      <c r="M16" s="6">
        <v>1656</v>
      </c>
      <c r="N16" s="18">
        <f t="shared" si="1"/>
        <v>0.15</v>
      </c>
      <c r="O16" s="1">
        <f t="shared" si="2"/>
        <v>960</v>
      </c>
      <c r="P16" s="25" t="str">
        <f t="shared" si="0"/>
        <v>15-Jan-2025</v>
      </c>
    </row>
    <row r="17" spans="1:16">
      <c r="A17" s="2">
        <v>1016</v>
      </c>
      <c r="B17" s="15">
        <v>45673</v>
      </c>
      <c r="C17" s="8" t="s">
        <v>33</v>
      </c>
      <c r="D17" s="2" t="s">
        <v>34</v>
      </c>
      <c r="E17" s="2" t="s">
        <v>50</v>
      </c>
      <c r="F17" s="2" t="s">
        <v>19</v>
      </c>
      <c r="G17" s="2" t="s">
        <v>20</v>
      </c>
      <c r="H17" s="2">
        <v>1</v>
      </c>
      <c r="I17" s="2">
        <v>55000</v>
      </c>
      <c r="J17" s="2">
        <v>10</v>
      </c>
      <c r="K17" s="2" t="s">
        <v>21</v>
      </c>
      <c r="L17" s="2">
        <v>49500</v>
      </c>
      <c r="M17" s="3">
        <v>7425</v>
      </c>
      <c r="N17" s="18">
        <f t="shared" si="1"/>
        <v>0.15</v>
      </c>
      <c r="O17" s="1">
        <f t="shared" si="2"/>
        <v>5500</v>
      </c>
      <c r="P17" s="25" t="str">
        <f t="shared" si="0"/>
        <v>16-Jan-2025</v>
      </c>
    </row>
    <row r="18" spans="1:16">
      <c r="A18" s="5">
        <v>1017</v>
      </c>
      <c r="B18" s="15">
        <v>45674</v>
      </c>
      <c r="C18" s="9" t="s">
        <v>16</v>
      </c>
      <c r="D18" s="5" t="s">
        <v>17</v>
      </c>
      <c r="E18" s="5" t="s">
        <v>51</v>
      </c>
      <c r="F18" s="5" t="s">
        <v>25</v>
      </c>
      <c r="G18" s="5" t="s">
        <v>20</v>
      </c>
      <c r="H18" s="5">
        <v>2</v>
      </c>
      <c r="I18" s="5">
        <v>18000</v>
      </c>
      <c r="J18" s="5">
        <v>5</v>
      </c>
      <c r="K18" s="5" t="s">
        <v>26</v>
      </c>
      <c r="L18" s="5">
        <v>34200</v>
      </c>
      <c r="M18" s="6">
        <v>5130</v>
      </c>
      <c r="N18" s="18">
        <f>M18/L18</f>
        <v>0.15</v>
      </c>
      <c r="O18" s="1">
        <f t="shared" si="2"/>
        <v>1800</v>
      </c>
      <c r="P18" s="25" t="str">
        <f t="shared" si="0"/>
        <v>17-Jan-2025</v>
      </c>
    </row>
    <row r="19" spans="1:16">
      <c r="A19" s="2">
        <v>1018</v>
      </c>
      <c r="B19" s="15">
        <v>45675</v>
      </c>
      <c r="C19" s="8" t="s">
        <v>22</v>
      </c>
      <c r="D19" s="2" t="s">
        <v>23</v>
      </c>
      <c r="E19" s="2" t="s">
        <v>52</v>
      </c>
      <c r="F19" s="2" t="s">
        <v>30</v>
      </c>
      <c r="G19" s="2" t="s">
        <v>31</v>
      </c>
      <c r="H19" s="2">
        <v>3</v>
      </c>
      <c r="I19" s="2">
        <v>2500</v>
      </c>
      <c r="J19" s="2">
        <v>0</v>
      </c>
      <c r="K19" s="2" t="s">
        <v>32</v>
      </c>
      <c r="L19" s="2">
        <v>7500</v>
      </c>
      <c r="M19" s="3">
        <v>1125</v>
      </c>
      <c r="N19" s="18">
        <f t="shared" si="1"/>
        <v>0.15</v>
      </c>
      <c r="O19" s="1">
        <f t="shared" si="2"/>
        <v>0</v>
      </c>
      <c r="P19" s="25" t="str">
        <f t="shared" si="0"/>
        <v>18-Jan-2025</v>
      </c>
    </row>
    <row r="20" spans="1:16">
      <c r="A20" s="5">
        <v>1019</v>
      </c>
      <c r="B20" s="15">
        <v>45676</v>
      </c>
      <c r="C20" s="9" t="s">
        <v>27</v>
      </c>
      <c r="D20" s="5" t="s">
        <v>28</v>
      </c>
      <c r="E20" s="5" t="s">
        <v>53</v>
      </c>
      <c r="F20" s="5" t="s">
        <v>36</v>
      </c>
      <c r="G20" s="5" t="s">
        <v>31</v>
      </c>
      <c r="H20" s="5">
        <v>1</v>
      </c>
      <c r="I20" s="5">
        <v>12000</v>
      </c>
      <c r="J20" s="5">
        <v>15</v>
      </c>
      <c r="K20" s="5" t="s">
        <v>21</v>
      </c>
      <c r="L20" s="5">
        <v>10200</v>
      </c>
      <c r="M20" s="6">
        <v>1530</v>
      </c>
      <c r="N20" s="18">
        <f t="shared" si="1"/>
        <v>0.15</v>
      </c>
      <c r="O20" s="1">
        <f t="shared" si="2"/>
        <v>1800</v>
      </c>
      <c r="P20" s="25" t="str">
        <f t="shared" si="0"/>
        <v>19-Jan-2025</v>
      </c>
    </row>
    <row r="21" spans="1:16">
      <c r="A21" s="2">
        <v>1020</v>
      </c>
      <c r="B21" s="24">
        <v>45677</v>
      </c>
      <c r="C21" s="8" t="s">
        <v>33</v>
      </c>
      <c r="D21" s="2" t="s">
        <v>34</v>
      </c>
      <c r="E21" s="2" t="s">
        <v>54</v>
      </c>
      <c r="F21" s="2" t="s">
        <v>38</v>
      </c>
      <c r="G21" s="2" t="s">
        <v>39</v>
      </c>
      <c r="H21" s="2">
        <v>4</v>
      </c>
      <c r="I21" s="2">
        <v>3000</v>
      </c>
      <c r="J21" s="2">
        <v>8</v>
      </c>
      <c r="K21" s="2" t="s">
        <v>26</v>
      </c>
      <c r="L21" s="2">
        <v>11040</v>
      </c>
      <c r="M21" s="3">
        <v>1656</v>
      </c>
      <c r="N21" s="30">
        <f t="shared" si="1"/>
        <v>0.15</v>
      </c>
      <c r="O21" s="31">
        <f t="shared" si="2"/>
        <v>960</v>
      </c>
      <c r="P21" s="32" t="str">
        <f t="shared" si="0"/>
        <v>20-Jan-2025</v>
      </c>
    </row>
    <row r="25" spans="1:16">
      <c r="G25" s="3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491D4-38CF-4689-87E8-E453B5324C4A}">
  <dimension ref="A3:C4"/>
  <sheetViews>
    <sheetView showGridLines="0" workbookViewId="0">
      <selection activeCell="A3" sqref="A3:C4"/>
    </sheetView>
  </sheetViews>
  <sheetFormatPr defaultRowHeight="15"/>
  <cols>
    <col min="1" max="1" width="21.42578125" bestFit="1" customWidth="1"/>
    <col min="2" max="2" width="13.5703125" bestFit="1" customWidth="1"/>
    <col min="3" max="3" width="24.140625" bestFit="1" customWidth="1"/>
  </cols>
  <sheetData>
    <row r="3" spans="1:3">
      <c r="A3" s="35" t="s">
        <v>55</v>
      </c>
      <c r="B3" s="35" t="s">
        <v>56</v>
      </c>
      <c r="C3" s="35" t="s">
        <v>57</v>
      </c>
    </row>
    <row r="4" spans="1:3">
      <c r="A4" s="35">
        <v>34200</v>
      </c>
      <c r="B4" s="35">
        <v>5130</v>
      </c>
      <c r="C4" s="35">
        <v>1800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CBDAA-93B6-4509-B8A9-36518E8CC4B5}">
  <dimension ref="A3:C9"/>
  <sheetViews>
    <sheetView showGridLines="0" tabSelected="1" workbookViewId="0">
      <selection activeCell="C5" sqref="C5"/>
    </sheetView>
  </sheetViews>
  <sheetFormatPr defaultRowHeight="15"/>
  <cols>
    <col min="1" max="1" width="12.28515625" bestFit="1" customWidth="1"/>
    <col min="2" max="2" width="21.42578125" bestFit="1" customWidth="1"/>
    <col min="3" max="3" width="13.5703125" bestFit="1" customWidth="1"/>
  </cols>
  <sheetData>
    <row r="3" spans="1:3" ht="14.25" customHeight="1">
      <c r="A3" s="34" t="s">
        <v>2</v>
      </c>
      <c r="B3" s="35" t="s">
        <v>55</v>
      </c>
      <c r="C3" s="35" t="s">
        <v>56</v>
      </c>
    </row>
    <row r="4" spans="1:3">
      <c r="A4" s="35" t="s">
        <v>22</v>
      </c>
      <c r="B4" s="35">
        <v>34200</v>
      </c>
      <c r="C4" s="35">
        <v>5130</v>
      </c>
    </row>
    <row r="5" spans="1:3">
      <c r="A5" s="35" t="s">
        <v>58</v>
      </c>
      <c r="B5" s="35">
        <v>34200</v>
      </c>
      <c r="C5" s="35">
        <v>5130</v>
      </c>
    </row>
    <row r="9" spans="1:3">
      <c r="A9" s="39"/>
      <c r="B9" s="39"/>
      <c r="C9" s="39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0B1F-0F3D-4DE6-8ADA-5BD4E9E8147A}">
  <dimension ref="A3:C5"/>
  <sheetViews>
    <sheetView showGridLines="0" workbookViewId="0">
      <selection activeCell="A3" sqref="A3:C9"/>
    </sheetView>
  </sheetViews>
  <sheetFormatPr defaultRowHeight="15"/>
  <cols>
    <col min="1" max="1" width="12.28515625" bestFit="1" customWidth="1"/>
    <col min="2" max="2" width="21.42578125" bestFit="1" customWidth="1"/>
    <col min="3" max="3" width="13.5703125" bestFit="1" customWidth="1"/>
    <col min="4" max="4" width="12.5703125" bestFit="1" customWidth="1"/>
  </cols>
  <sheetData>
    <row r="3" spans="1:3">
      <c r="A3" s="40" t="s">
        <v>5</v>
      </c>
      <c r="B3" s="41" t="s">
        <v>55</v>
      </c>
      <c r="C3" s="41" t="s">
        <v>56</v>
      </c>
    </row>
    <row r="4" spans="1:3">
      <c r="A4" s="41" t="s">
        <v>25</v>
      </c>
      <c r="B4" s="41">
        <v>34200</v>
      </c>
      <c r="C4" s="41">
        <v>5130</v>
      </c>
    </row>
    <row r="5" spans="1:3">
      <c r="A5" s="41" t="s">
        <v>58</v>
      </c>
      <c r="B5" s="41">
        <v>34200</v>
      </c>
      <c r="C5" s="41">
        <v>5130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05928-BFB8-46D8-B913-1FD3F4151BEF}">
  <dimension ref="A3:C5"/>
  <sheetViews>
    <sheetView showGridLines="0" workbookViewId="0">
      <selection activeCell="A3" sqref="A3"/>
    </sheetView>
  </sheetViews>
  <sheetFormatPr defaultRowHeight="15"/>
  <cols>
    <col min="1" max="1" width="11.5703125" bestFit="1" customWidth="1"/>
    <col min="2" max="2" width="20.42578125" bestFit="1" customWidth="1"/>
    <col min="3" max="3" width="12.5703125" bestFit="1" customWidth="1"/>
  </cols>
  <sheetData>
    <row r="3" spans="1:3">
      <c r="A3" s="36" t="s">
        <v>15</v>
      </c>
      <c r="B3" s="37" t="s">
        <v>55</v>
      </c>
      <c r="C3" s="37" t="s">
        <v>56</v>
      </c>
    </row>
    <row r="4" spans="1:3">
      <c r="A4" s="37" t="s">
        <v>59</v>
      </c>
      <c r="B4" s="38">
        <v>34200</v>
      </c>
      <c r="C4" s="38">
        <v>5130</v>
      </c>
    </row>
    <row r="5" spans="1:3">
      <c r="A5" s="37" t="s">
        <v>58</v>
      </c>
      <c r="B5" s="38">
        <v>34200</v>
      </c>
      <c r="C5" s="38">
        <v>5130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D3C6-E7D4-4521-BABD-41F314F30A71}">
  <dimension ref="D49:U121"/>
  <sheetViews>
    <sheetView showGridLines="0" showRowColHeaders="0" workbookViewId="0">
      <selection activeCell="O1" sqref="O1"/>
    </sheetView>
  </sheetViews>
  <sheetFormatPr defaultRowHeight="15"/>
  <cols>
    <col min="4" max="4" width="15.85546875" bestFit="1" customWidth="1"/>
    <col min="5" max="5" width="10.140625" bestFit="1" customWidth="1"/>
    <col min="6" max="6" width="17.85546875" bestFit="1" customWidth="1"/>
    <col min="19" max="19" width="15.85546875" bestFit="1" customWidth="1"/>
    <col min="20" max="20" width="10.140625" bestFit="1" customWidth="1"/>
    <col min="21" max="21" width="17.85546875" bestFit="1" customWidth="1"/>
  </cols>
  <sheetData>
    <row r="49" spans="4:6">
      <c r="D49" s="42" t="s">
        <v>55</v>
      </c>
      <c r="E49" s="42" t="s">
        <v>56</v>
      </c>
      <c r="F49" s="42" t="s">
        <v>57</v>
      </c>
    </row>
    <row r="50" spans="4:6">
      <c r="D50" s="42">
        <v>34200</v>
      </c>
      <c r="E50" s="42">
        <v>5130</v>
      </c>
      <c r="F50" s="42">
        <v>1800</v>
      </c>
    </row>
    <row r="120" spans="19:21">
      <c r="S120" s="42" t="s">
        <v>55</v>
      </c>
      <c r="T120" s="42" t="s">
        <v>56</v>
      </c>
      <c r="U120" s="42" t="s">
        <v>57</v>
      </c>
    </row>
    <row r="121" spans="19:21">
      <c r="S121" s="42">
        <v>34200</v>
      </c>
      <c r="T121" s="42">
        <v>5130</v>
      </c>
      <c r="U121" s="42">
        <v>1800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2026-01-07T09:07:30Z</dcterms:created>
  <dcterms:modified xsi:type="dcterms:W3CDTF">2026-01-09T14:24:30Z</dcterms:modified>
  <cp:category/>
  <cp:contentStatus/>
</cp:coreProperties>
</file>